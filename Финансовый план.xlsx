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cuments\Личные финансы\"/>
    </mc:Choice>
  </mc:AlternateContent>
  <xr:revisionPtr revIDLastSave="0" documentId="13_ncr:1_{F238D8A8-D62D-4E46-AD67-E65A8AA651A6}" xr6:coauthVersionLast="46" xr6:coauthVersionMax="46" xr10:uidLastSave="{00000000-0000-0000-0000-000000000000}"/>
  <bookViews>
    <workbookView xWindow="-114" yWindow="-114" windowWidth="36727" windowHeight="20060" xr2:uid="{37FD5756-AF69-4080-8577-8AF04EAE00BB}"/>
  </bookViews>
  <sheets>
    <sheet name="Движение денежных средств" sheetId="1" r:id="rId1"/>
    <sheet name="Баланс" sheetId="2" r:id="rId2"/>
    <sheet name="Зарплата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6" i="1" l="1"/>
  <c r="V21" i="1"/>
  <c r="V41" i="1"/>
  <c r="V40" i="1" s="1"/>
  <c r="V16" i="1"/>
  <c r="V35" i="1"/>
  <c r="V43" i="1"/>
  <c r="V14" i="1"/>
  <c r="V17" i="1"/>
  <c r="V9" i="1"/>
  <c r="V18" i="1"/>
  <c r="V28" i="1"/>
  <c r="V27" i="1" s="1"/>
  <c r="V31" i="1"/>
  <c r="V20" i="1"/>
  <c r="V19" i="1" s="1"/>
  <c r="V6" i="1"/>
  <c r="V5" i="1" s="1"/>
  <c r="V4" i="1" s="1"/>
  <c r="V11" i="1"/>
  <c r="V32" i="1"/>
  <c r="V25" i="1"/>
  <c r="V52" i="1"/>
  <c r="V34" i="1"/>
  <c r="V37" i="1"/>
  <c r="V7" i="1"/>
  <c r="V51" i="1"/>
  <c r="V50" i="1" s="1"/>
  <c r="V53" i="1" s="1"/>
  <c r="V26" i="1"/>
  <c r="V12" i="1"/>
  <c r="V36" i="1"/>
  <c r="V24" i="1"/>
  <c r="M16" i="2"/>
  <c r="U58" i="1"/>
  <c r="W5" i="1"/>
  <c r="W4" i="1" s="1"/>
  <c r="X5" i="1"/>
  <c r="X4" i="1" s="1"/>
  <c r="W11" i="1"/>
  <c r="X11" i="1"/>
  <c r="W15" i="1"/>
  <c r="X15" i="1"/>
  <c r="W19" i="1"/>
  <c r="X19" i="1"/>
  <c r="W24" i="1"/>
  <c r="X24" i="1"/>
  <c r="W27" i="1"/>
  <c r="X27" i="1"/>
  <c r="W33" i="1"/>
  <c r="X33" i="1"/>
  <c r="W36" i="1"/>
  <c r="X36" i="1"/>
  <c r="W40" i="1"/>
  <c r="X40" i="1"/>
  <c r="W51" i="1"/>
  <c r="W50" i="1" s="1"/>
  <c r="W53" i="1" s="1"/>
  <c r="X51" i="1"/>
  <c r="X50" i="1" s="1"/>
  <c r="X53" i="1" s="1"/>
  <c r="W55" i="1"/>
  <c r="X55" i="1"/>
  <c r="W58" i="1"/>
  <c r="X58" i="1"/>
  <c r="V58" i="1"/>
  <c r="V55" i="1"/>
  <c r="U55" i="1"/>
  <c r="U51" i="1"/>
  <c r="U50" i="1"/>
  <c r="U53" i="1" s="1"/>
  <c r="U40" i="1"/>
  <c r="U36" i="1"/>
  <c r="V33" i="1"/>
  <c r="U33" i="1"/>
  <c r="U27" i="1"/>
  <c r="U24" i="1"/>
  <c r="U19" i="1"/>
  <c r="U15" i="1"/>
  <c r="U11" i="1"/>
  <c r="U5" i="1"/>
  <c r="U4" i="1"/>
  <c r="T25" i="1"/>
  <c r="T24" i="1" s="1"/>
  <c r="T35" i="1"/>
  <c r="T21" i="1"/>
  <c r="T46" i="1"/>
  <c r="T17" i="1"/>
  <c r="T12" i="1"/>
  <c r="T11" i="1" s="1"/>
  <c r="T9" i="1"/>
  <c r="T13" i="1"/>
  <c r="T39" i="1"/>
  <c r="T16" i="1"/>
  <c r="T41" i="1"/>
  <c r="T40" i="1" s="1"/>
  <c r="T57" i="1"/>
  <c r="T55" i="1" s="1"/>
  <c r="T59" i="1"/>
  <c r="T52" i="1"/>
  <c r="T51" i="1" s="1"/>
  <c r="T50" i="1" s="1"/>
  <c r="T53" i="1" s="1"/>
  <c r="T34" i="1"/>
  <c r="T33" i="1" s="1"/>
  <c r="T26" i="1"/>
  <c r="T44" i="1"/>
  <c r="T31" i="1"/>
  <c r="T27" i="1" s="1"/>
  <c r="T7" i="1"/>
  <c r="T5" i="1" s="1"/>
  <c r="T20" i="1"/>
  <c r="T19" i="1" s="1"/>
  <c r="T6" i="1"/>
  <c r="T14" i="1"/>
  <c r="T32" i="1"/>
  <c r="T18" i="1"/>
  <c r="T45" i="1"/>
  <c r="T28" i="1"/>
  <c r="T37" i="1"/>
  <c r="S57" i="1"/>
  <c r="S56" i="1"/>
  <c r="S55" i="1" s="1"/>
  <c r="M11" i="2"/>
  <c r="S7" i="1"/>
  <c r="S6" i="1"/>
  <c r="S5" i="1" s="1"/>
  <c r="S4" i="1" s="1"/>
  <c r="L46" i="1"/>
  <c r="L43" i="1"/>
  <c r="L42" i="1"/>
  <c r="L41" i="1"/>
  <c r="L39" i="1"/>
  <c r="L38" i="1"/>
  <c r="L37" i="1"/>
  <c r="L35" i="1"/>
  <c r="P13" i="1"/>
  <c r="L34" i="1"/>
  <c r="L32" i="1"/>
  <c r="L31" i="1"/>
  <c r="L28" i="1"/>
  <c r="L27" i="1" s="1"/>
  <c r="L26" i="1"/>
  <c r="L25" i="1"/>
  <c r="L24" i="1" s="1"/>
  <c r="L23" i="1"/>
  <c r="L22" i="1"/>
  <c r="L21" i="1"/>
  <c r="L20" i="1"/>
  <c r="L18" i="1"/>
  <c r="L17" i="1"/>
  <c r="L16" i="1"/>
  <c r="L15" i="1" s="1"/>
  <c r="L14" i="1"/>
  <c r="L13" i="1"/>
  <c r="L12" i="1"/>
  <c r="L11" i="1" s="1"/>
  <c r="L9" i="1"/>
  <c r="L7" i="1"/>
  <c r="L6" i="1"/>
  <c r="L5" i="1" s="1"/>
  <c r="L4" i="1" s="1"/>
  <c r="L58" i="1"/>
  <c r="L55" i="1"/>
  <c r="L52" i="1"/>
  <c r="N58" i="1"/>
  <c r="N55" i="1"/>
  <c r="P55" i="1"/>
  <c r="R55" i="1"/>
  <c r="N52" i="1"/>
  <c r="L51" i="1" s="1"/>
  <c r="N40" i="1"/>
  <c r="N36" i="1"/>
  <c r="N33" i="1"/>
  <c r="N32" i="1"/>
  <c r="N31" i="1"/>
  <c r="N29" i="1"/>
  <c r="N28" i="1"/>
  <c r="N26" i="1"/>
  <c r="N25" i="1"/>
  <c r="N20" i="1"/>
  <c r="N19" i="1" s="1"/>
  <c r="N18" i="1"/>
  <c r="N17" i="1"/>
  <c r="N16" i="1"/>
  <c r="N14" i="1"/>
  <c r="N13" i="1"/>
  <c r="N12" i="1"/>
  <c r="N9" i="1"/>
  <c r="N6" i="1"/>
  <c r="N5" i="1" s="1"/>
  <c r="R39" i="1"/>
  <c r="R36" i="1" s="1"/>
  <c r="R35" i="1"/>
  <c r="R21" i="1"/>
  <c r="R34" i="1"/>
  <c r="R44" i="1"/>
  <c r="R46" i="1"/>
  <c r="R16" i="1"/>
  <c r="R17" i="1"/>
  <c r="R18" i="1"/>
  <c r="R59" i="1"/>
  <c r="R58" i="1" s="1"/>
  <c r="R32" i="1"/>
  <c r="R28" i="1"/>
  <c r="R20" i="1"/>
  <c r="R9" i="1"/>
  <c r="R6" i="1"/>
  <c r="R5" i="1" s="1"/>
  <c r="R14" i="1"/>
  <c r="R13" i="1"/>
  <c r="R12" i="1"/>
  <c r="D12" i="3"/>
  <c r="E12" i="3"/>
  <c r="F12" i="3"/>
  <c r="G12" i="3"/>
  <c r="C12" i="3"/>
  <c r="G8" i="3"/>
  <c r="E4" i="3"/>
  <c r="F4" i="3"/>
  <c r="G4" i="3"/>
  <c r="D4" i="3"/>
  <c r="H3" i="3"/>
  <c r="Q6" i="1"/>
  <c r="Q5" i="1" s="1"/>
  <c r="Q4" i="1" s="1"/>
  <c r="P12" i="1"/>
  <c r="P28" i="1"/>
  <c r="P18" i="1"/>
  <c r="P17" i="1"/>
  <c r="P14" i="1"/>
  <c r="Q58" i="1"/>
  <c r="S58" i="1"/>
  <c r="T58" i="1"/>
  <c r="O58" i="1"/>
  <c r="S51" i="1"/>
  <c r="S50" i="1" s="1"/>
  <c r="S53" i="1" s="1"/>
  <c r="S40" i="1"/>
  <c r="S36" i="1"/>
  <c r="S33" i="1"/>
  <c r="S27" i="1"/>
  <c r="S24" i="1"/>
  <c r="S19" i="1"/>
  <c r="S15" i="1"/>
  <c r="S11" i="1"/>
  <c r="S10" i="1" s="1"/>
  <c r="Q55" i="1"/>
  <c r="R51" i="1"/>
  <c r="R50" i="1" s="1"/>
  <c r="R53" i="1" s="1"/>
  <c r="Q51" i="1"/>
  <c r="Q50" i="1" s="1"/>
  <c r="Q53" i="1" s="1"/>
  <c r="R40" i="1"/>
  <c r="Q40" i="1"/>
  <c r="Q36" i="1"/>
  <c r="Q33" i="1"/>
  <c r="Q27" i="1"/>
  <c r="R24" i="1"/>
  <c r="Q24" i="1"/>
  <c r="Q19" i="1"/>
  <c r="Q15" i="1"/>
  <c r="Q11" i="1"/>
  <c r="P45" i="1"/>
  <c r="P46" i="1"/>
  <c r="P36" i="1"/>
  <c r="P6" i="1"/>
  <c r="P9" i="1"/>
  <c r="P7" i="1"/>
  <c r="P25" i="1"/>
  <c r="P35" i="1"/>
  <c r="P26" i="1"/>
  <c r="P21" i="1"/>
  <c r="P41" i="1"/>
  <c r="P16" i="1"/>
  <c r="P20" i="1"/>
  <c r="P42" i="1"/>
  <c r="P52" i="1"/>
  <c r="P51" i="1" s="1"/>
  <c r="P50" i="1" s="1"/>
  <c r="P53" i="1" s="1"/>
  <c r="P32" i="1"/>
  <c r="P8" i="1"/>
  <c r="P31" i="1"/>
  <c r="P34" i="1"/>
  <c r="O55" i="1"/>
  <c r="O51" i="1"/>
  <c r="O50" i="1" s="1"/>
  <c r="O53" i="1" s="1"/>
  <c r="O19" i="1"/>
  <c r="X62" i="1" l="1"/>
  <c r="V15" i="1"/>
  <c r="N62" i="1"/>
  <c r="X10" i="1"/>
  <c r="T36" i="1"/>
  <c r="N24" i="1"/>
  <c r="W62" i="1"/>
  <c r="W10" i="1"/>
  <c r="W47" i="1" s="1"/>
  <c r="W64" i="1" s="1"/>
  <c r="W66" i="1" s="1"/>
  <c r="X47" i="1"/>
  <c r="X64" i="1" s="1"/>
  <c r="X66" i="1" s="1"/>
  <c r="V62" i="1"/>
  <c r="U62" i="1"/>
  <c r="U10" i="1"/>
  <c r="U47" i="1" s="1"/>
  <c r="U64" i="1" s="1"/>
  <c r="U66" i="1" s="1"/>
  <c r="V10" i="1"/>
  <c r="V47" i="1" s="1"/>
  <c r="V64" i="1" s="1"/>
  <c r="V66" i="1" s="1"/>
  <c r="T4" i="1"/>
  <c r="T15" i="1"/>
  <c r="T10" i="1" s="1"/>
  <c r="L36" i="1"/>
  <c r="L40" i="1"/>
  <c r="N4" i="1"/>
  <c r="L19" i="1"/>
  <c r="L33" i="1"/>
  <c r="N15" i="1"/>
  <c r="L62" i="1"/>
  <c r="L10" i="1"/>
  <c r="L47" i="1" s="1"/>
  <c r="R27" i="1"/>
  <c r="N27" i="1"/>
  <c r="N51" i="1"/>
  <c r="L50" i="1" s="1"/>
  <c r="N50" i="1"/>
  <c r="L53" i="1" s="1"/>
  <c r="N53" i="1"/>
  <c r="N11" i="1"/>
  <c r="R15" i="1"/>
  <c r="R33" i="1"/>
  <c r="R19" i="1"/>
  <c r="Q10" i="1"/>
  <c r="Q47" i="1" s="1"/>
  <c r="R11" i="1"/>
  <c r="H4" i="3"/>
  <c r="H5" i="3"/>
  <c r="S62" i="1"/>
  <c r="Q62" i="1"/>
  <c r="R62" i="1"/>
  <c r="T62" i="1"/>
  <c r="P58" i="1"/>
  <c r="P62" i="1" s="1"/>
  <c r="S47" i="1"/>
  <c r="R4" i="1"/>
  <c r="P5" i="1"/>
  <c r="P4" i="1" s="1"/>
  <c r="P27" i="1"/>
  <c r="P33" i="1"/>
  <c r="P11" i="1"/>
  <c r="O27" i="1"/>
  <c r="P19" i="1"/>
  <c r="P40" i="1"/>
  <c r="P15" i="1"/>
  <c r="P24" i="1"/>
  <c r="O5" i="1"/>
  <c r="O62" i="1"/>
  <c r="O24" i="1"/>
  <c r="O40" i="1"/>
  <c r="O36" i="1"/>
  <c r="T47" i="1" l="1"/>
  <c r="T64" i="1" s="1"/>
  <c r="T66" i="1" s="1"/>
  <c r="R10" i="1"/>
  <c r="P10" i="1"/>
  <c r="N10" i="1"/>
  <c r="N47" i="1" s="1"/>
  <c r="P47" i="1"/>
  <c r="P64" i="1" s="1"/>
  <c r="P66" i="1" s="1"/>
  <c r="R47" i="1"/>
  <c r="R64" i="1" s="1"/>
  <c r="R66" i="1" s="1"/>
  <c r="Q64" i="1"/>
  <c r="Q66" i="1" s="1"/>
  <c r="S64" i="1"/>
  <c r="S66" i="1" s="1"/>
  <c r="O11" i="1"/>
  <c r="O15" i="1"/>
  <c r="O4" i="1"/>
  <c r="O33" i="1"/>
  <c r="O10" i="1" l="1"/>
  <c r="O47" i="1" s="1"/>
  <c r="O64" i="1" s="1"/>
  <c r="O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P6" authorId="0" shapeId="0" xr:uid="{EE30C085-3D4B-4558-A6C8-8DBB8F509C1B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+62к не понятно откуда</t>
        </r>
      </text>
    </comment>
    <comment ref="P8" authorId="0" shapeId="0" xr:uid="{50477EB7-DDB5-4C32-B0A9-76226531B39A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остаток за 2023 и проценты за 2024 год</t>
        </r>
      </text>
    </comment>
    <comment ref="P9" authorId="0" shapeId="0" xr:uid="{C278BFC6-DF93-472C-A40D-466323621CFC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день рождение, продажа книг на авито</t>
        </r>
      </text>
    </comment>
    <comment ref="T9" authorId="0" shapeId="0" xr:uid="{D0DF9B91-F5E9-4745-A0D0-A5844B2D8BEE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+подарки на праздники</t>
        </r>
      </text>
    </comment>
    <comment ref="R13" authorId="0" shapeId="0" xr:uid="{5168E3D7-DA63-45ED-9B71-F1DABF15F85E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Пересел с эконома на комфорт. Чаще ездил в час пик из-за плохой погоды</t>
        </r>
      </text>
    </comment>
    <comment ref="V14" authorId="0" shapeId="0" xr:uid="{979D3938-9FAE-4BB3-A930-BF0EB44C3AD4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+2 забыл кошелек</t>
        </r>
      </text>
    </comment>
    <comment ref="R16" authorId="0" shapeId="0" xr:uid="{A89F27F8-A3CD-4E12-A340-CFDBC488407E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Только на себя, общее в общеке</t>
        </r>
      </text>
    </comment>
    <comment ref="T16" authorId="0" shapeId="0" xr:uid="{ED9878A8-D9D6-4397-877A-5DFBA0F731FC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+спортпит</t>
        </r>
      </text>
    </comment>
    <comment ref="P17" authorId="0" shapeId="0" xr:uid="{DEC318AC-9514-4B6A-820A-B5F816C73FD8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плюсом обеды с Ромой</t>
        </r>
      </text>
    </comment>
    <comment ref="R18" authorId="0" shapeId="0" xr:uid="{EC0F8804-52F0-4FC1-90B3-7B27E818A585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отменили заказы обедов с портала</t>
        </r>
      </text>
    </comment>
    <comment ref="V18" authorId="0" shapeId="0" xr:uid="{AB83BD70-7B11-4B2B-B79A-C282CC671F43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в конце мая перестал готовить</t>
        </r>
      </text>
    </comment>
    <comment ref="V20" authorId="0" shapeId="0" xr:uid="{BB34642C-AD30-4DEB-86E8-7D73BAD6FF2A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 накопился капремонт</t>
        </r>
      </text>
    </comment>
    <comment ref="R25" authorId="0" shapeId="0" xr:uid="{BCB6E9DC-55FC-4AB1-8C44-92EC56568579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Надежды на то что ей будет хватать зарплаты не оправдались</t>
        </r>
      </text>
    </comment>
    <comment ref="P26" authorId="0" shapeId="0" xr:uid="{D0395E06-2DB7-4E3F-8BCD-3C6F855C8902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др мамы и племяника</t>
        </r>
      </text>
    </comment>
    <comment ref="T26" authorId="0" shapeId="0" xr:uid="{213023F7-BBDE-48FB-A5E1-1A2156DD3B01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+др Егора</t>
        </r>
      </text>
    </comment>
    <comment ref="P35" authorId="0" shapeId="0" xr:uid="{8490D096-1DD1-4102-BC38-7E9D4D2F6337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добавил мяч и бутсы</t>
        </r>
      </text>
    </comment>
    <comment ref="T35" authorId="0" shapeId="0" xr:uid="{0A3A52CD-C235-49CC-8A3F-4C2787F77007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+одежда на осень и зиму в дереню</t>
        </r>
      </text>
    </comment>
    <comment ref="R39" authorId="0" shapeId="0" xr:uid="{CA25F8E5-9A09-45EF-B7A1-B8AF94822ECC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+ЛЭ и игрушка</t>
        </r>
      </text>
    </comment>
    <comment ref="T43" authorId="0" shapeId="0" xr:uid="{B188542D-BA4D-4FD0-8D4E-D3CE0337B586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+сломалась плита</t>
        </r>
      </text>
    </comment>
    <comment ref="T45" authorId="0" shapeId="0" xr:uid="{C678F5AF-E024-4D17-A949-2CA890935911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+горнолыжка
+музлото</t>
        </r>
      </text>
    </comment>
    <comment ref="R46" authorId="0" shapeId="0" xr:uid="{FE30266C-1108-48F5-B4F5-3D960918C498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+Футбол</t>
        </r>
      </text>
    </comment>
    <comment ref="V46" authorId="0" shapeId="0" xr:uid="{B6A81519-EFC5-4341-AE09-D1286D0E95F4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Загранпаспорт</t>
        </r>
      </text>
    </comment>
    <comment ref="R47" authorId="0" shapeId="0" xr:uid="{203C6415-497D-486F-9E23-A6224B624074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+70к Диане 
+30к ЛЭ
+10к питание
+10к налог и хозяйство</t>
        </r>
      </text>
    </comment>
    <comment ref="L56" authorId="0" shapeId="0" xr:uid="{1ABBF74B-439C-42A0-832C-8E2C3F594C65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Кристина</t>
        </r>
      </text>
    </comment>
    <comment ref="N56" authorId="0" shapeId="0" xr:uid="{AF486449-0E20-49BC-802A-77187BD7E4BF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Кристина</t>
        </r>
      </text>
    </comment>
    <comment ref="S56" authorId="0" shapeId="0" xr:uid="{050E360E-BC86-4258-B6FC-E991F99D2966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Сказать Кристине чтобы вернула, хотя бы 50 в идеале 60</t>
        </r>
      </text>
    </comment>
    <comment ref="S57" authorId="0" shapeId="0" xr:uid="{5655E335-BD0B-4F0E-A1DE-DCD65102E115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Закроются текущие вклады</t>
        </r>
      </text>
    </comment>
    <comment ref="N59" authorId="0" shapeId="0" xr:uid="{331992B4-4786-423F-ACD3-E4F1F6C46244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Кристина</t>
        </r>
      </text>
    </comment>
    <comment ref="P59" authorId="0" shapeId="0" xr:uid="{0DD3B8DF-9A0B-47F8-9D76-A60F657F6EB3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Кристина</t>
        </r>
      </text>
    </comment>
    <comment ref="L60" authorId="0" shapeId="0" xr:uid="{A8019CB2-C813-4AF1-9F6D-6CCAEBDEFD78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Альфа от 25 февр</t>
        </r>
      </text>
    </comment>
    <comment ref="N60" authorId="0" shapeId="0" xr:uid="{7407B04B-55B1-4E7C-85E8-B7C23E1536CD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Альфа от 25 мая</t>
        </r>
      </text>
    </comment>
    <comment ref="P60" authorId="0" shapeId="0" xr:uid="{E16115FE-9D36-4C02-87CC-2204122CF8A2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ВТБ от 25 июля</t>
        </r>
      </text>
    </comment>
    <comment ref="Q60" authorId="0" shapeId="0" xr:uid="{0F7DF148-9B81-4B21-8CEA-E00D78DA4EBF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в конце ноября на 3 месяца</t>
        </r>
      </text>
    </comment>
    <comment ref="P61" authorId="0" shapeId="0" xr:uid="{2BBB3CC4-019E-4063-95DE-684BC82ECFC9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Альфа Капитал от 27 июля</t>
        </r>
      </text>
    </comment>
    <comment ref="P63" authorId="0" shapeId="0" xr:uid="{4F2ADD7C-1D4F-47BC-A8F7-962BD156B82D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Непонятно откуда +30, добавлено для схождения</t>
        </r>
      </text>
    </comment>
    <comment ref="R64" authorId="0" shapeId="0" xr:uid="{696BF66A-1ACC-4901-B262-B9BD1CE427EB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+50к займа
альтернатива 
+120к затрат
-200к вклада
получилось бы 104</t>
        </r>
      </text>
    </comment>
    <comment ref="O66" authorId="0" shapeId="0" xr:uid="{AAD3C3E6-92DC-42A6-92B9-87411301BAC7}">
      <text>
        <r>
          <rPr>
            <b/>
            <sz val="11"/>
            <color indexed="81"/>
            <rFont val="Tahoma"/>
            <family val="2"/>
            <charset val="204"/>
          </rPr>
          <t>Пользователь:</t>
        </r>
        <r>
          <rPr>
            <sz val="11"/>
            <color indexed="81"/>
            <rFont val="Tahoma"/>
            <family val="2"/>
            <charset val="204"/>
          </rPr>
          <t xml:space="preserve">
+67к вычета нужно оформить, 
+ отпуск в дерене ничего не буду тратить, 
+ меньшее коммуналка за лето,
возможно накопить 200к
</t>
        </r>
      </text>
    </comment>
  </commentList>
</comments>
</file>

<file path=xl/sharedStrings.xml><?xml version="1.0" encoding="utf-8"?>
<sst xmlns="http://schemas.openxmlformats.org/spreadsheetml/2006/main" count="164" uniqueCount="108">
  <si>
    <t>Кат 1</t>
  </si>
  <si>
    <t>Кат 2</t>
  </si>
  <si>
    <t xml:space="preserve"> Наименование</t>
  </si>
  <si>
    <t>Зарплата</t>
  </si>
  <si>
    <t>Транспорт</t>
  </si>
  <si>
    <t>Метро</t>
  </si>
  <si>
    <t>Такси</t>
  </si>
  <si>
    <t>Подарки</t>
  </si>
  <si>
    <t>Питание</t>
  </si>
  <si>
    <t>Одежда и обувь</t>
  </si>
  <si>
    <t>Кафе</t>
  </si>
  <si>
    <t>Столовая</t>
  </si>
  <si>
    <t>Стрижка</t>
  </si>
  <si>
    <t xml:space="preserve">Аптека </t>
  </si>
  <si>
    <t>Коммуналка</t>
  </si>
  <si>
    <t>Квартира</t>
  </si>
  <si>
    <t>Филанторпия</t>
  </si>
  <si>
    <t>Диана</t>
  </si>
  <si>
    <t>Премия</t>
  </si>
  <si>
    <t>Уфанет</t>
  </si>
  <si>
    <t>Здоровье</t>
  </si>
  <si>
    <t>Стоматология</t>
  </si>
  <si>
    <t>Ржд</t>
  </si>
  <si>
    <t>Образование</t>
  </si>
  <si>
    <t>Книги</t>
  </si>
  <si>
    <t>Уход</t>
  </si>
  <si>
    <t>Ипотека</t>
  </si>
  <si>
    <t>Яндекс.Плюс</t>
  </si>
  <si>
    <t>Пакет</t>
  </si>
  <si>
    <t>Подписки</t>
  </si>
  <si>
    <t>Универ</t>
  </si>
  <si>
    <t>Работа</t>
  </si>
  <si>
    <t>Хозяйство</t>
  </si>
  <si>
    <t>Интим</t>
  </si>
  <si>
    <t>Электроника</t>
  </si>
  <si>
    <t>Поступления</t>
  </si>
  <si>
    <t>Платежи</t>
  </si>
  <si>
    <t>Сальдо</t>
  </si>
  <si>
    <t>Кат 3</t>
  </si>
  <si>
    <t>Операционная деятельность</t>
  </si>
  <si>
    <t>Финансовая деятельность</t>
  </si>
  <si>
    <t>Инвестиционная деятельность</t>
  </si>
  <si>
    <t xml:space="preserve">пр. Яраткан д.5 </t>
  </si>
  <si>
    <t>Выдача займа</t>
  </si>
  <si>
    <t>Возврат займа</t>
  </si>
  <si>
    <t>Возврат вклада</t>
  </si>
  <si>
    <t>Открытие вклада</t>
  </si>
  <si>
    <t>Прочие</t>
  </si>
  <si>
    <t>DDX</t>
  </si>
  <si>
    <t>T2</t>
  </si>
  <si>
    <t>Сальдо на начало</t>
  </si>
  <si>
    <t>Чистый денежный поток</t>
  </si>
  <si>
    <t>Сальдо на конец</t>
  </si>
  <si>
    <t>Страховка</t>
  </si>
  <si>
    <t>Активы</t>
  </si>
  <si>
    <t>Пассивы</t>
  </si>
  <si>
    <t>лето</t>
  </si>
  <si>
    <t>Вклад</t>
  </si>
  <si>
    <t>Налоговый вычет</t>
  </si>
  <si>
    <t>Развлечения</t>
  </si>
  <si>
    <t>Открытие ИИС</t>
  </si>
  <si>
    <t>план</t>
  </si>
  <si>
    <t>факт</t>
  </si>
  <si>
    <t>ИИС</t>
  </si>
  <si>
    <t>Счета</t>
  </si>
  <si>
    <t>осень</t>
  </si>
  <si>
    <t>зима</t>
  </si>
  <si>
    <t>План от 28 сентября 2025 года на 25 февраля 2026 года.</t>
  </si>
  <si>
    <t>Альфа от 25 мая 2025 до 25 февраля 2026. Сумма в конце 227 235</t>
  </si>
  <si>
    <t>Альфа от 25 февраля 2025 до 25 февраля 2026. Сумма в конце 238 821</t>
  </si>
  <si>
    <t>ВТБ от 25 июля 2025  до 25 января 2026. Сумма в конце 214 665. Месяц на накопительном под 11%. Сумма в конце 216 665</t>
  </si>
  <si>
    <t>1П 2025</t>
  </si>
  <si>
    <t>Оклад</t>
  </si>
  <si>
    <t>ИПЦ</t>
  </si>
  <si>
    <t>итого</t>
  </si>
  <si>
    <t>Ном. Рост</t>
  </si>
  <si>
    <t>Реал. Рост</t>
  </si>
  <si>
    <t>1К2021</t>
  </si>
  <si>
    <t>1К2022</t>
  </si>
  <si>
    <t>1К2023</t>
  </si>
  <si>
    <t>1К2024</t>
  </si>
  <si>
    <t>1К2025</t>
  </si>
  <si>
    <t>Цена 1 кв.м. новостройки в казани</t>
  </si>
  <si>
    <t>Наиб. Оклад</t>
  </si>
  <si>
    <t>1 кв.м. в окладе</t>
  </si>
  <si>
    <t>Налог</t>
  </si>
  <si>
    <t>Продукты</t>
  </si>
  <si>
    <t>Общак</t>
  </si>
  <si>
    <t>Коррекци от 3 декабря</t>
  </si>
  <si>
    <t>1. Предположение 200 000 на 3 месяца под 15% от 25 ноября до 25 января 2026. Сумма в конце 205 000.</t>
  </si>
  <si>
    <t>2. Предположение сальдо на коцен зимы 400 000.</t>
  </si>
  <si>
    <t>3. Итоговая сумма на конце зимы 1 287 721. Риски не получения годовой премией 200 000.</t>
  </si>
  <si>
    <t xml:space="preserve">1. Недосчитался из-за затра 120к. Вклада не будет до 25 января </t>
  </si>
  <si>
    <t>2. Без вкладов сальдо на конец зимы 340 000</t>
  </si>
  <si>
    <t>3. Итогова сумма на конец зимы 1 221 061. Риск не получить 200 000 премии остаюется</t>
  </si>
  <si>
    <t>Альфа ежедневный (до 26к)</t>
  </si>
  <si>
    <t>Альфа ежемесячный (до 200к)</t>
  </si>
  <si>
    <t>Альфа зарплатный</t>
  </si>
  <si>
    <t>Выданные займы</t>
  </si>
  <si>
    <t>Кристина</t>
  </si>
  <si>
    <t>весна</t>
  </si>
  <si>
    <t>Имущество</t>
  </si>
  <si>
    <t>Коррекция</t>
  </si>
  <si>
    <t>март</t>
  </si>
  <si>
    <t>Айнур</t>
  </si>
  <si>
    <t>Альфа-Капитал Золото</t>
  </si>
  <si>
    <t>Альфа-Капитал Российские облигации</t>
  </si>
  <si>
    <t>Альфа от 28 февр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</si>
</sst>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</cellStyleXfs>
  <cellXfs count="200">
    <xf numFmtId="0" fontId="0" fillId="0" borderId="0" xfId="0"/>
    <xf numFmtId="0" fontId="11" fillId="5" borderId="1" xfId="4" applyBorder="1"/>
    <xf numFmtId="0" fontId="11" fillId="5" borderId="2" xfId="4" applyBorder="1"/>
    <xf numFmtId="0" fontId="11" fillId="5" borderId="4" xfId="4" applyBorder="1"/>
    <xf numFmtId="0" fontId="11" fillId="5" borderId="5" xfId="4" applyBorder="1"/>
    <xf numFmtId="0" fontId="11" fillId="2" borderId="1" xfId="1" applyBorder="1"/>
    <xf numFmtId="0" fontId="11" fillId="2" borderId="2" xfId="1" applyBorder="1"/>
    <xf numFmtId="0" fontId="11" fillId="2" borderId="4" xfId="1" applyBorder="1"/>
    <xf numFmtId="0" fontId="11" fillId="2" borderId="5" xfId="1" applyBorder="1"/>
    <xf numFmtId="0" fontId="11" fillId="3" borderId="0" xfId="2" applyBorder="1"/>
    <xf numFmtId="0" fontId="11" fillId="3" borderId="6" xfId="2" applyBorder="1"/>
    <xf numFmtId="0" fontId="11" fillId="4" borderId="0" xfId="3" applyBorder="1"/>
    <xf numFmtId="0" fontId="11" fillId="6" borderId="6" xfId="5" applyBorder="1"/>
    <xf numFmtId="0" fontId="11" fillId="6" borderId="0" xfId="5" applyBorder="1"/>
    <xf numFmtId="0" fontId="11" fillId="4" borderId="1" xfId="3" applyBorder="1"/>
    <xf numFmtId="0" fontId="11" fillId="4" borderId="2" xfId="3" applyBorder="1"/>
    <xf numFmtId="0" fontId="11" fillId="7" borderId="1" xfId="6" applyBorder="1"/>
    <xf numFmtId="0" fontId="11" fillId="7" borderId="2" xfId="6" applyBorder="1"/>
    <xf numFmtId="0" fontId="11" fillId="4" borderId="9" xfId="3" applyBorder="1"/>
    <xf numFmtId="0" fontId="10" fillId="3" borderId="0" xfId="2" applyFont="1" applyBorder="1"/>
    <xf numFmtId="0" fontId="10" fillId="3" borderId="6" xfId="2" applyFont="1" applyBorder="1"/>
    <xf numFmtId="0" fontId="11" fillId="4" borderId="4" xfId="3" applyBorder="1"/>
    <xf numFmtId="0" fontId="10" fillId="12" borderId="8" xfId="11" applyBorder="1"/>
    <xf numFmtId="0" fontId="10" fillId="12" borderId="9" xfId="11" applyBorder="1"/>
    <xf numFmtId="0" fontId="10" fillId="13" borderId="0" xfId="12" applyBorder="1"/>
    <xf numFmtId="0" fontId="10" fillId="11" borderId="1" xfId="10" applyBorder="1"/>
    <xf numFmtId="0" fontId="10" fillId="11" borderId="2" xfId="10" applyBorder="1"/>
    <xf numFmtId="0" fontId="10" fillId="11" borderId="4" xfId="10" applyBorder="1"/>
    <xf numFmtId="0" fontId="10" fillId="11" borderId="5" xfId="10" applyBorder="1"/>
    <xf numFmtId="0" fontId="9" fillId="11" borderId="1" xfId="10" applyFont="1" applyBorder="1"/>
    <xf numFmtId="0" fontId="9" fillId="4" borderId="1" xfId="3" applyFont="1" applyBorder="1"/>
    <xf numFmtId="0" fontId="9" fillId="7" borderId="1" xfId="6" applyFont="1" applyBorder="1"/>
    <xf numFmtId="0" fontId="9" fillId="4" borderId="8" xfId="3" applyFont="1" applyBorder="1"/>
    <xf numFmtId="0" fontId="11" fillId="7" borderId="8" xfId="6" applyBorder="1"/>
    <xf numFmtId="0" fontId="11" fillId="7" borderId="9" xfId="6" applyBorder="1"/>
    <xf numFmtId="0" fontId="9" fillId="3" borderId="0" xfId="2" applyFont="1" applyBorder="1"/>
    <xf numFmtId="0" fontId="10" fillId="13" borderId="1" xfId="12" applyBorder="1"/>
    <xf numFmtId="0" fontId="10" fillId="13" borderId="2" xfId="12" applyBorder="1"/>
    <xf numFmtId="0" fontId="10" fillId="13" borderId="4" xfId="12" applyBorder="1"/>
    <xf numFmtId="0" fontId="10" fillId="13" borderId="5" xfId="12" applyBorder="1"/>
    <xf numFmtId="0" fontId="10" fillId="13" borderId="6" xfId="12" applyBorder="1"/>
    <xf numFmtId="0" fontId="9" fillId="3" borderId="6" xfId="2" applyFont="1" applyBorder="1"/>
    <xf numFmtId="0" fontId="11" fillId="5" borderId="3" xfId="4" applyBorder="1"/>
    <xf numFmtId="0" fontId="11" fillId="7" borderId="3" xfId="6" applyBorder="1"/>
    <xf numFmtId="3" fontId="11" fillId="6" borderId="7" xfId="5" applyNumberFormat="1" applyBorder="1"/>
    <xf numFmtId="3" fontId="11" fillId="6" borderId="11" xfId="5" applyNumberFormat="1" applyBorder="1"/>
    <xf numFmtId="3" fontId="11" fillId="3" borderId="7" xfId="2" applyNumberFormat="1" applyBorder="1"/>
    <xf numFmtId="0" fontId="8" fillId="7" borderId="1" xfId="6" applyFont="1" applyBorder="1"/>
    <xf numFmtId="0" fontId="7" fillId="6" borderId="0" xfId="5" applyFont="1" applyBorder="1"/>
    <xf numFmtId="0" fontId="7" fillId="4" borderId="4" xfId="3" applyFont="1" applyBorder="1"/>
    <xf numFmtId="0" fontId="11" fillId="4" borderId="8" xfId="3" applyBorder="1"/>
    <xf numFmtId="0" fontId="11" fillId="5" borderId="12" xfId="4" applyBorder="1"/>
    <xf numFmtId="3" fontId="11" fillId="7" borderId="3" xfId="6" applyNumberFormat="1" applyBorder="1"/>
    <xf numFmtId="0" fontId="11" fillId="5" borderId="6" xfId="4" applyBorder="1"/>
    <xf numFmtId="0" fontId="7" fillId="11" borderId="14" xfId="10" applyFont="1" applyBorder="1" applyAlignment="1">
      <alignment horizontal="center"/>
    </xf>
    <xf numFmtId="0" fontId="7" fillId="11" borderId="16" xfId="10" applyFont="1" applyBorder="1" applyAlignment="1">
      <alignment horizontal="center"/>
    </xf>
    <xf numFmtId="0" fontId="11" fillId="5" borderId="18" xfId="4" applyBorder="1"/>
    <xf numFmtId="0" fontId="11" fillId="5" borderId="19" xfId="4" applyBorder="1"/>
    <xf numFmtId="0" fontId="11" fillId="5" borderId="24" xfId="4" applyBorder="1"/>
    <xf numFmtId="0" fontId="10" fillId="11" borderId="21" xfId="10" applyBorder="1" applyAlignment="1">
      <alignment horizontal="center"/>
    </xf>
    <xf numFmtId="0" fontId="10" fillId="11" borderId="22" xfId="10" applyBorder="1" applyAlignment="1">
      <alignment horizontal="center"/>
    </xf>
    <xf numFmtId="0" fontId="10" fillId="9" borderId="29" xfId="8" applyBorder="1" applyAlignment="1">
      <alignment horizontal="center"/>
    </xf>
    <xf numFmtId="0" fontId="5" fillId="3" borderId="0" xfId="2" applyFont="1" applyBorder="1"/>
    <xf numFmtId="3" fontId="11" fillId="4" borderId="3" xfId="3" applyNumberFormat="1" applyBorder="1"/>
    <xf numFmtId="3" fontId="10" fillId="7" borderId="2" xfId="6" applyNumberFormat="1" applyFont="1" applyBorder="1"/>
    <xf numFmtId="3" fontId="10" fillId="7" borderId="18" xfId="6" applyNumberFormat="1" applyFont="1" applyBorder="1"/>
    <xf numFmtId="3" fontId="10" fillId="7" borderId="24" xfId="6" applyNumberFormat="1" applyFont="1" applyBorder="1"/>
    <xf numFmtId="3" fontId="11" fillId="7" borderId="18" xfId="6" applyNumberFormat="1" applyBorder="1"/>
    <xf numFmtId="3" fontId="11" fillId="7" borderId="24" xfId="6" applyNumberFormat="1" applyBorder="1"/>
    <xf numFmtId="3" fontId="11" fillId="2" borderId="2" xfId="1" applyNumberFormat="1" applyBorder="1"/>
    <xf numFmtId="3" fontId="11" fillId="2" borderId="31" xfId="1" applyNumberFormat="1" applyBorder="1"/>
    <xf numFmtId="3" fontId="11" fillId="2" borderId="24" xfId="1" applyNumberFormat="1" applyBorder="1"/>
    <xf numFmtId="3" fontId="11" fillId="2" borderId="1" xfId="1" applyNumberFormat="1" applyBorder="1"/>
    <xf numFmtId="3" fontId="11" fillId="4" borderId="2" xfId="3" applyNumberFormat="1" applyBorder="1"/>
    <xf numFmtId="3" fontId="11" fillId="4" borderId="18" xfId="3" applyNumberFormat="1" applyBorder="1"/>
    <xf numFmtId="3" fontId="11" fillId="4" borderId="24" xfId="3" applyNumberFormat="1" applyBorder="1"/>
    <xf numFmtId="3" fontId="11" fillId="4" borderId="21" xfId="3" applyNumberFormat="1" applyBorder="1"/>
    <xf numFmtId="3" fontId="11" fillId="4" borderId="16" xfId="3" applyNumberFormat="1" applyBorder="1"/>
    <xf numFmtId="3" fontId="11" fillId="4" borderId="17" xfId="3" applyNumberFormat="1" applyBorder="1"/>
    <xf numFmtId="3" fontId="11" fillId="4" borderId="25" xfId="3" applyNumberFormat="1" applyBorder="1"/>
    <xf numFmtId="3" fontId="10" fillId="12" borderId="9" xfId="11" applyNumberFormat="1" applyBorder="1"/>
    <xf numFmtId="3" fontId="10" fillId="12" borderId="21" xfId="11" applyNumberFormat="1" applyBorder="1"/>
    <xf numFmtId="3" fontId="10" fillId="12" borderId="16" xfId="11" applyNumberFormat="1" applyBorder="1"/>
    <xf numFmtId="3" fontId="10" fillId="13" borderId="18" xfId="12" applyNumberFormat="1" applyBorder="1"/>
    <xf numFmtId="3" fontId="10" fillId="13" borderId="24" xfId="12" applyNumberFormat="1" applyBorder="1"/>
    <xf numFmtId="3" fontId="10" fillId="13" borderId="17" xfId="12" applyNumberFormat="1" applyBorder="1"/>
    <xf numFmtId="3" fontId="10" fillId="13" borderId="25" xfId="12" applyNumberFormat="1" applyBorder="1"/>
    <xf numFmtId="3" fontId="10" fillId="13" borderId="26" xfId="12" applyNumberFormat="1" applyBorder="1"/>
    <xf numFmtId="3" fontId="11" fillId="2" borderId="18" xfId="1" applyNumberFormat="1" applyBorder="1"/>
    <xf numFmtId="3" fontId="11" fillId="2" borderId="19" xfId="1" applyNumberFormat="1" applyBorder="1"/>
    <xf numFmtId="3" fontId="11" fillId="2" borderId="3" xfId="1" applyNumberFormat="1" applyBorder="1"/>
    <xf numFmtId="3" fontId="11" fillId="4" borderId="19" xfId="3" applyNumberFormat="1" applyBorder="1"/>
    <xf numFmtId="3" fontId="11" fillId="3" borderId="6" xfId="2" applyNumberFormat="1" applyBorder="1"/>
    <xf numFmtId="3" fontId="11" fillId="3" borderId="23" xfId="2" applyNumberFormat="1" applyBorder="1"/>
    <xf numFmtId="3" fontId="11" fillId="3" borderId="10" xfId="2" applyNumberFormat="1" applyBorder="1"/>
    <xf numFmtId="3" fontId="10" fillId="12" borderId="22" xfId="11" applyNumberFormat="1" applyBorder="1"/>
    <xf numFmtId="3" fontId="11" fillId="5" borderId="17" xfId="4" applyNumberFormat="1" applyBorder="1"/>
    <xf numFmtId="3" fontId="11" fillId="5" borderId="10" xfId="4" applyNumberFormat="1" applyBorder="1"/>
    <xf numFmtId="3" fontId="10" fillId="7" borderId="19" xfId="6" applyNumberFormat="1" applyFont="1" applyBorder="1"/>
    <xf numFmtId="3" fontId="11" fillId="6" borderId="0" xfId="5" applyNumberFormat="1" applyBorder="1"/>
    <xf numFmtId="3" fontId="11" fillId="6" borderId="17" xfId="5" applyNumberFormat="1" applyBorder="1"/>
    <xf numFmtId="3" fontId="11" fillId="6" borderId="10" xfId="5" applyNumberFormat="1" applyBorder="1"/>
    <xf numFmtId="3" fontId="11" fillId="6" borderId="20" xfId="5" applyNumberFormat="1" applyBorder="1"/>
    <xf numFmtId="3" fontId="11" fillId="7" borderId="9" xfId="6" applyNumberFormat="1" applyBorder="1"/>
    <xf numFmtId="3" fontId="11" fillId="7" borderId="21" xfId="6" applyNumberFormat="1" applyBorder="1"/>
    <xf numFmtId="3" fontId="11" fillId="7" borderId="22" xfId="6" applyNumberFormat="1" applyBorder="1"/>
    <xf numFmtId="3" fontId="11" fillId="3" borderId="0" xfId="2" applyNumberFormat="1" applyBorder="1"/>
    <xf numFmtId="3" fontId="11" fillId="3" borderId="17" xfId="2" applyNumberFormat="1" applyBorder="1"/>
    <xf numFmtId="3" fontId="7" fillId="3" borderId="20" xfId="2" applyNumberFormat="1" applyFont="1" applyBorder="1"/>
    <xf numFmtId="3" fontId="11" fillId="3" borderId="20" xfId="2" applyNumberFormat="1" applyBorder="1"/>
    <xf numFmtId="3" fontId="11" fillId="4" borderId="9" xfId="3" applyNumberFormat="1" applyBorder="1"/>
    <xf numFmtId="3" fontId="11" fillId="4" borderId="22" xfId="3" applyNumberFormat="1" applyBorder="1"/>
    <xf numFmtId="3" fontId="11" fillId="4" borderId="20" xfId="3" applyNumberFormat="1" applyBorder="1"/>
    <xf numFmtId="3" fontId="11" fillId="2" borderId="32" xfId="1" applyNumberFormat="1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top"/>
    </xf>
    <xf numFmtId="0" fontId="14" fillId="0" borderId="0" xfId="0" applyFont="1"/>
    <xf numFmtId="0" fontId="4" fillId="3" borderId="0" xfId="2" applyFont="1" applyBorder="1"/>
    <xf numFmtId="0" fontId="4" fillId="3" borderId="6" xfId="2" applyFont="1" applyBorder="1"/>
    <xf numFmtId="3" fontId="4" fillId="3" borderId="10" xfId="2" applyNumberFormat="1" applyFont="1" applyBorder="1"/>
    <xf numFmtId="0" fontId="4" fillId="4" borderId="8" xfId="3" applyFont="1" applyBorder="1"/>
    <xf numFmtId="3" fontId="4" fillId="4" borderId="22" xfId="3" applyNumberFormat="1" applyFont="1" applyBorder="1"/>
    <xf numFmtId="0" fontId="11" fillId="7" borderId="0" xfId="6" applyBorder="1"/>
    <xf numFmtId="3" fontId="11" fillId="7" borderId="11" xfId="6" applyNumberFormat="1" applyBorder="1"/>
    <xf numFmtId="0" fontId="11" fillId="5" borderId="0" xfId="4" applyBorder="1"/>
    <xf numFmtId="0" fontId="7" fillId="7" borderId="0" xfId="6" applyFont="1" applyBorder="1"/>
    <xf numFmtId="3" fontId="11" fillId="7" borderId="0" xfId="6" applyNumberFormat="1" applyBorder="1"/>
    <xf numFmtId="3" fontId="11" fillId="6" borderId="6" xfId="5" applyNumberFormat="1" applyBorder="1"/>
    <xf numFmtId="0" fontId="4" fillId="6" borderId="0" xfId="5" applyFont="1" applyBorder="1"/>
    <xf numFmtId="0" fontId="4" fillId="6" borderId="6" xfId="5" applyFont="1" applyBorder="1"/>
    <xf numFmtId="3" fontId="11" fillId="6" borderId="2" xfId="5" applyNumberFormat="1" applyBorder="1"/>
    <xf numFmtId="0" fontId="4" fillId="6" borderId="2" xfId="5" applyFont="1" applyBorder="1"/>
    <xf numFmtId="0" fontId="4" fillId="7" borderId="0" xfId="6" applyFont="1" applyBorder="1"/>
    <xf numFmtId="3" fontId="11" fillId="5" borderId="0" xfId="4" applyNumberFormat="1" applyBorder="1"/>
    <xf numFmtId="3" fontId="11" fillId="5" borderId="33" xfId="4" applyNumberFormat="1" applyBorder="1"/>
    <xf numFmtId="3" fontId="10" fillId="7" borderId="31" xfId="6" applyNumberFormat="1" applyFont="1" applyBorder="1"/>
    <xf numFmtId="3" fontId="11" fillId="6" borderId="33" xfId="5" applyNumberFormat="1" applyBorder="1"/>
    <xf numFmtId="3" fontId="11" fillId="7" borderId="14" xfId="6" applyNumberFormat="1" applyBorder="1"/>
    <xf numFmtId="3" fontId="11" fillId="4" borderId="31" xfId="3" applyNumberFormat="1" applyBorder="1"/>
    <xf numFmtId="3" fontId="11" fillId="3" borderId="33" xfId="2" applyNumberFormat="1" applyBorder="1"/>
    <xf numFmtId="3" fontId="3" fillId="3" borderId="33" xfId="2" applyNumberFormat="1" applyFont="1" applyBorder="1"/>
    <xf numFmtId="3" fontId="11" fillId="3" borderId="34" xfId="2" applyNumberFormat="1" applyBorder="1"/>
    <xf numFmtId="3" fontId="11" fillId="4" borderId="33" xfId="3" applyNumberFormat="1" applyBorder="1"/>
    <xf numFmtId="3" fontId="11" fillId="4" borderId="14" xfId="3" applyNumberFormat="1" applyBorder="1"/>
    <xf numFmtId="3" fontId="10" fillId="12" borderId="14" xfId="11" applyNumberFormat="1" applyBorder="1"/>
    <xf numFmtId="0" fontId="11" fillId="5" borderId="31" xfId="4" applyBorder="1"/>
    <xf numFmtId="3" fontId="11" fillId="7" borderId="31" xfId="6" applyNumberFormat="1" applyBorder="1"/>
    <xf numFmtId="3" fontId="10" fillId="13" borderId="31" xfId="12" applyNumberFormat="1" applyBorder="1"/>
    <xf numFmtId="3" fontId="10" fillId="13" borderId="33" xfId="12" applyNumberFormat="1" applyBorder="1"/>
    <xf numFmtId="3" fontId="10" fillId="13" borderId="35" xfId="12" applyNumberFormat="1" applyBorder="1"/>
    <xf numFmtId="3" fontId="11" fillId="6" borderId="25" xfId="5" applyNumberFormat="1" applyBorder="1"/>
    <xf numFmtId="3" fontId="11" fillId="7" borderId="16" xfId="6" applyNumberFormat="1" applyBorder="1"/>
    <xf numFmtId="3" fontId="11" fillId="3" borderId="25" xfId="2" applyNumberFormat="1" applyBorder="1"/>
    <xf numFmtId="3" fontId="3" fillId="3" borderId="25" xfId="2" applyNumberFormat="1" applyFont="1" applyBorder="1"/>
    <xf numFmtId="3" fontId="11" fillId="3" borderId="36" xfId="2" applyNumberFormat="1" applyBorder="1"/>
    <xf numFmtId="3" fontId="11" fillId="5" borderId="24" xfId="4" applyNumberFormat="1" applyBorder="1"/>
    <xf numFmtId="3" fontId="10" fillId="7" borderId="16" xfId="6" applyNumberFormat="1" applyFont="1" applyBorder="1"/>
    <xf numFmtId="3" fontId="7" fillId="3" borderId="6" xfId="2" applyNumberFormat="1" applyFont="1" applyBorder="1"/>
    <xf numFmtId="3" fontId="11" fillId="4" borderId="6" xfId="3" applyNumberFormat="1" applyBorder="1"/>
    <xf numFmtId="0" fontId="7" fillId="11" borderId="8" xfId="10" applyFont="1" applyBorder="1" applyAlignment="1">
      <alignment horizontal="center"/>
    </xf>
    <xf numFmtId="3" fontId="10" fillId="7" borderId="1" xfId="6" applyNumberFormat="1" applyFont="1" applyBorder="1"/>
    <xf numFmtId="3" fontId="11" fillId="7" borderId="1" xfId="6" applyNumberFormat="1" applyBorder="1"/>
    <xf numFmtId="3" fontId="11" fillId="4" borderId="1" xfId="3" applyNumberFormat="1" applyBorder="1"/>
    <xf numFmtId="3" fontId="11" fillId="4" borderId="8" xfId="3" applyNumberFormat="1" applyBorder="1"/>
    <xf numFmtId="3" fontId="11" fillId="4" borderId="4" xfId="3" applyNumberFormat="1" applyBorder="1"/>
    <xf numFmtId="3" fontId="10" fillId="12" borderId="8" xfId="11" applyNumberFormat="1" applyBorder="1"/>
    <xf numFmtId="3" fontId="10" fillId="13" borderId="1" xfId="12" applyNumberFormat="1" applyBorder="1"/>
    <xf numFmtId="3" fontId="10" fillId="13" borderId="4" xfId="12" applyNumberFormat="1" applyBorder="1"/>
    <xf numFmtId="3" fontId="10" fillId="13" borderId="37" xfId="12" applyNumberFormat="1" applyBorder="1"/>
    <xf numFmtId="0" fontId="3" fillId="4" borderId="1" xfId="3" applyFont="1" applyBorder="1"/>
    <xf numFmtId="0" fontId="3" fillId="13" borderId="4" xfId="12" applyFont="1" applyBorder="1"/>
    <xf numFmtId="3" fontId="11" fillId="5" borderId="1" xfId="4" applyNumberFormat="1" applyBorder="1"/>
    <xf numFmtId="0" fontId="2" fillId="6" borderId="0" xfId="5" applyFont="1" applyBorder="1"/>
    <xf numFmtId="0" fontId="11" fillId="5" borderId="13" xfId="4" applyBorder="1"/>
    <xf numFmtId="0" fontId="2" fillId="6" borderId="6" xfId="5" applyFont="1" applyBorder="1"/>
    <xf numFmtId="0" fontId="10" fillId="9" borderId="3" xfId="8" applyBorder="1" applyAlignment="1">
      <alignment horizontal="center"/>
    </xf>
    <xf numFmtId="0" fontId="2" fillId="10" borderId="7" xfId="9" applyFont="1" applyBorder="1" applyAlignment="1">
      <alignment horizontal="center"/>
    </xf>
    <xf numFmtId="0" fontId="3" fillId="10" borderId="28" xfId="9" applyFont="1" applyBorder="1" applyAlignment="1">
      <alignment horizontal="center"/>
    </xf>
    <xf numFmtId="0" fontId="3" fillId="10" borderId="30" xfId="9" applyFont="1" applyBorder="1" applyAlignment="1">
      <alignment horizontal="center"/>
    </xf>
    <xf numFmtId="0" fontId="10" fillId="9" borderId="38" xfId="8" applyBorder="1" applyAlignment="1">
      <alignment horizontal="center"/>
    </xf>
    <xf numFmtId="0" fontId="10" fillId="9" borderId="39" xfId="8" applyBorder="1" applyAlignment="1">
      <alignment horizontal="center"/>
    </xf>
    <xf numFmtId="0" fontId="6" fillId="10" borderId="27" xfId="9" applyFont="1" applyBorder="1" applyAlignment="1">
      <alignment horizontal="center"/>
    </xf>
    <xf numFmtId="0" fontId="10" fillId="10" borderId="15" xfId="9" applyBorder="1" applyAlignment="1">
      <alignment horizontal="center"/>
    </xf>
    <xf numFmtId="0" fontId="10" fillId="10" borderId="27" xfId="9" applyBorder="1" applyAlignment="1">
      <alignment horizontal="center"/>
    </xf>
    <xf numFmtId="0" fontId="10" fillId="8" borderId="29" xfId="7" applyBorder="1" applyAlignment="1">
      <alignment horizontal="center"/>
    </xf>
    <xf numFmtId="0" fontId="10" fillId="9" borderId="29" xfId="8" applyBorder="1" applyAlignment="1">
      <alignment horizontal="center"/>
    </xf>
    <xf numFmtId="0" fontId="10" fillId="10" borderId="28" xfId="9" applyBorder="1" applyAlignment="1">
      <alignment horizontal="center"/>
    </xf>
    <xf numFmtId="0" fontId="10" fillId="10" borderId="40" xfId="9" applyBorder="1" applyAlignment="1">
      <alignment horizontal="center"/>
    </xf>
    <xf numFmtId="0" fontId="10" fillId="8" borderId="1" xfId="7" applyBorder="1" applyAlignment="1">
      <alignment horizontal="center"/>
    </xf>
    <xf numFmtId="0" fontId="10" fillId="8" borderId="5" xfId="7" applyBorder="1" applyAlignment="1">
      <alignment horizontal="center"/>
    </xf>
    <xf numFmtId="0" fontId="10" fillId="8" borderId="2" xfId="7" applyBorder="1" applyAlignment="1">
      <alignment horizontal="center"/>
    </xf>
    <xf numFmtId="0" fontId="10" fillId="8" borderId="6" xfId="7" applyBorder="1" applyAlignment="1">
      <alignment horizontal="center"/>
    </xf>
    <xf numFmtId="0" fontId="10" fillId="9" borderId="2" xfId="8" applyBorder="1" applyAlignment="1">
      <alignment horizontal="center"/>
    </xf>
    <xf numFmtId="0" fontId="10" fillId="9" borderId="6" xfId="8" applyBorder="1" applyAlignment="1">
      <alignment horizontal="center"/>
    </xf>
    <xf numFmtId="0" fontId="1" fillId="10" borderId="28" xfId="9" applyFont="1" applyBorder="1" applyAlignment="1">
      <alignment horizontal="center"/>
    </xf>
    <xf numFmtId="0" fontId="10" fillId="9" borderId="37" xfId="8" applyBorder="1" applyAlignment="1">
      <alignment horizontal="center"/>
    </xf>
    <xf numFmtId="0" fontId="10" fillId="9" borderId="41" xfId="8" applyBorder="1" applyAlignment="1">
      <alignment horizontal="center"/>
    </xf>
    <xf numFmtId="0" fontId="10" fillId="9" borderId="42" xfId="8" applyBorder="1" applyAlignment="1">
      <alignment horizontal="center"/>
    </xf>
  </cellXfs>
  <cellStyles count="13">
    <cellStyle name="20% — акцент1" xfId="7" builtinId="30"/>
    <cellStyle name="20% — акцент2" xfId="1" builtinId="34"/>
    <cellStyle name="20% — акцент3" xfId="10" builtinId="38"/>
    <cellStyle name="20% — акцент4" xfId="11" builtinId="42"/>
    <cellStyle name="20% — акцент5" xfId="12" builtinId="46"/>
    <cellStyle name="20% — акцент6" xfId="4" builtinId="50"/>
    <cellStyle name="40% — акцент1" xfId="8" builtinId="31"/>
    <cellStyle name="40% — акцент2" xfId="2" builtinId="35"/>
    <cellStyle name="40% — акцент6" xfId="5" builtinId="51"/>
    <cellStyle name="60% — акцент1" xfId="9" builtinId="32"/>
    <cellStyle name="60% — акцент2" xfId="3" builtinId="36"/>
    <cellStyle name="60% — акцент6" xfId="6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G1:X66"/>
  <sheetViews>
    <sheetView tabSelected="1" topLeftCell="B34" zoomScale="145" zoomScaleNormal="145" workbookViewId="0">
      <selection activeCell="Z51" sqref="Z51"/>
    </sheetView>
  </sheetViews>
  <sheetFormatPr defaultRowHeight="14.3" x14ac:dyDescent="0.25"/>
  <cols>
    <col min="3" max="3" width="18.42578125" customWidth="1"/>
    <col min="4" max="6" width="9.140625" customWidth="1"/>
    <col min="7" max="7" width="6.5703125" customWidth="1"/>
    <col min="8" max="8" width="6.42578125" customWidth="1"/>
    <col min="9" max="9" width="6.5703125" customWidth="1"/>
    <col min="10" max="10" width="17.140625" customWidth="1"/>
    <col min="11" max="18" width="9.140625" customWidth="1"/>
    <col min="19" max="20" width="10.28515625" customWidth="1"/>
  </cols>
  <sheetData>
    <row r="1" spans="7:24" ht="15" thickBot="1" x14ac:dyDescent="0.3">
      <c r="G1" s="186" t="s">
        <v>0</v>
      </c>
      <c r="H1" s="186" t="s">
        <v>1</v>
      </c>
      <c r="I1" s="186" t="s">
        <v>38</v>
      </c>
      <c r="J1" s="187" t="s">
        <v>2</v>
      </c>
      <c r="K1" s="61">
        <v>2024</v>
      </c>
      <c r="L1" s="181">
        <v>2025</v>
      </c>
      <c r="M1" s="181"/>
      <c r="N1" s="181"/>
      <c r="O1" s="181"/>
      <c r="P1" s="181"/>
      <c r="Q1" s="181"/>
      <c r="R1" s="181"/>
      <c r="S1" s="182"/>
      <c r="T1" s="197">
        <v>2026</v>
      </c>
      <c r="U1" s="198"/>
      <c r="V1" s="198"/>
      <c r="W1" s="198"/>
      <c r="X1" s="199"/>
    </row>
    <row r="2" spans="7:24" x14ac:dyDescent="0.25">
      <c r="G2" s="186"/>
      <c r="H2" s="186"/>
      <c r="I2" s="186"/>
      <c r="J2" s="187"/>
      <c r="K2" s="179" t="s">
        <v>66</v>
      </c>
      <c r="L2" s="180"/>
      <c r="M2" s="179" t="s">
        <v>100</v>
      </c>
      <c r="N2" s="180"/>
      <c r="O2" s="188" t="s">
        <v>56</v>
      </c>
      <c r="P2" s="189"/>
      <c r="Q2" s="185" t="s">
        <v>65</v>
      </c>
      <c r="R2" s="184"/>
      <c r="S2" s="183" t="s">
        <v>66</v>
      </c>
      <c r="T2" s="184"/>
      <c r="U2" s="179" t="s">
        <v>100</v>
      </c>
      <c r="V2" s="180"/>
      <c r="W2" s="196" t="s">
        <v>56</v>
      </c>
      <c r="X2" s="180"/>
    </row>
    <row r="3" spans="7:24" x14ac:dyDescent="0.25">
      <c r="G3" s="25" t="s">
        <v>39</v>
      </c>
      <c r="H3" s="26"/>
      <c r="I3" s="26"/>
      <c r="J3" s="26"/>
      <c r="K3" s="54" t="s">
        <v>61</v>
      </c>
      <c r="L3" s="55" t="s">
        <v>62</v>
      </c>
      <c r="M3" s="54" t="s">
        <v>61</v>
      </c>
      <c r="N3" s="55" t="s">
        <v>62</v>
      </c>
      <c r="O3" s="54" t="s">
        <v>61</v>
      </c>
      <c r="P3" s="161" t="s">
        <v>62</v>
      </c>
      <c r="Q3" s="59" t="s">
        <v>61</v>
      </c>
      <c r="R3" s="60" t="s">
        <v>62</v>
      </c>
      <c r="S3" s="59" t="s">
        <v>61</v>
      </c>
      <c r="T3" s="60" t="s">
        <v>62</v>
      </c>
      <c r="U3" s="59" t="s">
        <v>61</v>
      </c>
      <c r="V3" s="60" t="s">
        <v>62</v>
      </c>
      <c r="W3" s="59" t="s">
        <v>61</v>
      </c>
      <c r="X3" s="60" t="s">
        <v>62</v>
      </c>
    </row>
    <row r="4" spans="7:24" x14ac:dyDescent="0.25">
      <c r="G4" s="27"/>
      <c r="H4" s="1" t="s">
        <v>35</v>
      </c>
      <c r="I4" s="2"/>
      <c r="J4" s="2"/>
      <c r="K4" s="136"/>
      <c r="L4" s="157">
        <f t="shared" ref="L4:N4" si="0">SUM(L5,L9)</f>
        <v>676249</v>
      </c>
      <c r="M4" s="136"/>
      <c r="N4" s="157">
        <f t="shared" si="0"/>
        <v>500858</v>
      </c>
      <c r="O4" s="96">
        <f t="shared" ref="O4:P4" si="1">SUM(O5,O9)</f>
        <v>551727</v>
      </c>
      <c r="P4" s="135">
        <f t="shared" si="1"/>
        <v>651542</v>
      </c>
      <c r="Q4" s="96">
        <f t="shared" ref="Q4:R4" si="2">SUM(Q5,Q9)</f>
        <v>599500</v>
      </c>
      <c r="R4" s="97">
        <f t="shared" si="2"/>
        <v>621406</v>
      </c>
      <c r="S4" s="96">
        <f t="shared" ref="S4:T4" si="3">SUM(S5,S9)</f>
        <v>612450</v>
      </c>
      <c r="T4" s="97">
        <f t="shared" si="3"/>
        <v>671669</v>
      </c>
      <c r="U4" s="96">
        <f t="shared" ref="U4:V4" si="4">SUM(U5,U9)</f>
        <v>497000</v>
      </c>
      <c r="V4" s="97">
        <f t="shared" si="4"/>
        <v>515817</v>
      </c>
      <c r="W4" s="96">
        <f t="shared" ref="W4:X4" si="5">SUM(W5,W9)</f>
        <v>0</v>
      </c>
      <c r="X4" s="97">
        <f t="shared" si="5"/>
        <v>0</v>
      </c>
    </row>
    <row r="5" spans="7:24" x14ac:dyDescent="0.25">
      <c r="G5" s="27"/>
      <c r="H5" s="3"/>
      <c r="I5" s="16" t="s">
        <v>31</v>
      </c>
      <c r="J5" s="17"/>
      <c r="K5" s="137"/>
      <c r="L5" s="66">
        <f>SUM(L6:L8)</f>
        <v>674858</v>
      </c>
      <c r="M5" s="137"/>
      <c r="N5" s="66">
        <f>SUM(N6:N8)</f>
        <v>499729</v>
      </c>
      <c r="O5" s="65">
        <f t="shared" ref="O5:T5" si="6">SUM(O6:O8)</f>
        <v>550327</v>
      </c>
      <c r="P5" s="64">
        <f t="shared" si="6"/>
        <v>629535</v>
      </c>
      <c r="Q5" s="65">
        <f t="shared" si="6"/>
        <v>598000</v>
      </c>
      <c r="R5" s="98">
        <f t="shared" si="6"/>
        <v>614289</v>
      </c>
      <c r="S5" s="65">
        <f t="shared" si="6"/>
        <v>607450</v>
      </c>
      <c r="T5" s="98">
        <f t="shared" si="6"/>
        <v>654523</v>
      </c>
      <c r="U5" s="65">
        <f t="shared" ref="U5:V5" si="7">SUM(U6:U8)</f>
        <v>495000</v>
      </c>
      <c r="V5" s="98">
        <f t="shared" si="7"/>
        <v>512017</v>
      </c>
      <c r="W5" s="65">
        <f t="shared" ref="W5:X5" si="8">SUM(W6:W8)</f>
        <v>0</v>
      </c>
      <c r="X5" s="98">
        <f t="shared" si="8"/>
        <v>0</v>
      </c>
    </row>
    <row r="6" spans="7:24" x14ac:dyDescent="0.25">
      <c r="G6" s="27"/>
      <c r="H6" s="3"/>
      <c r="I6" s="3"/>
      <c r="J6" s="13" t="s">
        <v>3</v>
      </c>
      <c r="K6" s="138"/>
      <c r="L6" s="152">
        <f>152858+205648+83072</f>
        <v>441578</v>
      </c>
      <c r="M6" s="138"/>
      <c r="N6" s="152">
        <f>161109+182619+146701</f>
        <v>490429</v>
      </c>
      <c r="O6" s="100">
        <v>483327</v>
      </c>
      <c r="P6" s="99">
        <f>143786+100857+64181+126009+50230+21527+39296</f>
        <v>545886</v>
      </c>
      <c r="Q6" s="100">
        <f>593000</f>
        <v>593000</v>
      </c>
      <c r="R6" s="101">
        <f>73350+130820+86107+78932+67515+82520+34780+43808</f>
        <v>597832</v>
      </c>
      <c r="S6" s="100">
        <f>45820+7495+82450+43973+120923+86789</f>
        <v>387450</v>
      </c>
      <c r="T6" s="101">
        <f>45844+77427+44010+121028+86863</f>
        <v>375172</v>
      </c>
      <c r="U6" s="100">
        <v>480000</v>
      </c>
      <c r="V6" s="101">
        <f>78176+74268+82519+82520+82520+82519</f>
        <v>482522</v>
      </c>
      <c r="W6" s="100"/>
      <c r="X6" s="101"/>
    </row>
    <row r="7" spans="7:24" x14ac:dyDescent="0.25">
      <c r="G7" s="27"/>
      <c r="H7" s="3"/>
      <c r="I7" s="3"/>
      <c r="J7" s="13" t="s">
        <v>18</v>
      </c>
      <c r="K7" s="138"/>
      <c r="L7" s="152">
        <f>213864+19416</f>
        <v>233280</v>
      </c>
      <c r="M7" s="138"/>
      <c r="N7" s="152">
        <v>9300</v>
      </c>
      <c r="O7" s="100"/>
      <c r="P7" s="99">
        <f>16193</f>
        <v>16193</v>
      </c>
      <c r="Q7" s="100">
        <v>5000</v>
      </c>
      <c r="R7" s="101">
        <v>16457</v>
      </c>
      <c r="S7" s="100">
        <f>200000+20000</f>
        <v>220000</v>
      </c>
      <c r="T7" s="101">
        <f>7328+80623+191400</f>
        <v>279351</v>
      </c>
      <c r="U7" s="100">
        <v>15000</v>
      </c>
      <c r="V7" s="101">
        <f>29495</f>
        <v>29495</v>
      </c>
      <c r="W7" s="100"/>
      <c r="X7" s="101"/>
    </row>
    <row r="8" spans="7:24" x14ac:dyDescent="0.25">
      <c r="G8" s="27"/>
      <c r="H8" s="3"/>
      <c r="I8" s="3"/>
      <c r="J8" s="48" t="s">
        <v>58</v>
      </c>
      <c r="K8" s="138"/>
      <c r="L8" s="152"/>
      <c r="M8" s="138"/>
      <c r="N8" s="152"/>
      <c r="O8" s="100">
        <v>67000</v>
      </c>
      <c r="P8" s="129">
        <f>18880+48576</f>
        <v>67456</v>
      </c>
      <c r="Q8" s="100"/>
      <c r="R8" s="102"/>
      <c r="S8" s="100"/>
      <c r="T8" s="102"/>
      <c r="U8" s="100"/>
      <c r="V8" s="102"/>
      <c r="W8" s="100"/>
      <c r="X8" s="102"/>
    </row>
    <row r="9" spans="7:24" x14ac:dyDescent="0.25">
      <c r="G9" s="27"/>
      <c r="H9" s="4"/>
      <c r="I9" s="33" t="s">
        <v>47</v>
      </c>
      <c r="J9" s="34"/>
      <c r="K9" s="139"/>
      <c r="L9" s="153">
        <f>647+744</f>
        <v>1391</v>
      </c>
      <c r="M9" s="139"/>
      <c r="N9" s="153">
        <f>788+341</f>
        <v>1129</v>
      </c>
      <c r="O9" s="104">
        <v>1400</v>
      </c>
      <c r="P9" s="103">
        <f>302+13000+7719+395+521+70</f>
        <v>22007</v>
      </c>
      <c r="Q9" s="104">
        <v>1500</v>
      </c>
      <c r="R9" s="105">
        <f>1006+2306+175+1055+222+1332+377+644</f>
        <v>7117</v>
      </c>
      <c r="S9" s="104">
        <v>5000</v>
      </c>
      <c r="T9" s="105">
        <f>521+6500+596+682+3000+2615+192+72+1018+715+85+1150</f>
        <v>17146</v>
      </c>
      <c r="U9" s="104">
        <v>2000</v>
      </c>
      <c r="V9" s="105">
        <f>883+135+153+749+107+317+528+88+840</f>
        <v>3800</v>
      </c>
      <c r="W9" s="104"/>
      <c r="X9" s="105"/>
    </row>
    <row r="10" spans="7:24" x14ac:dyDescent="0.25">
      <c r="G10" s="27"/>
      <c r="H10" s="5" t="s">
        <v>36</v>
      </c>
      <c r="I10" s="6"/>
      <c r="J10" s="6"/>
      <c r="K10" s="70"/>
      <c r="L10" s="71">
        <f>SUM(L11,L15,L19,L24,L27,L33,L36,L40,L43,L44,L45,L46)</f>
        <v>335963</v>
      </c>
      <c r="M10" s="70"/>
      <c r="N10" s="71">
        <f>SUM(N11,N15,N19,N24,N27,N33,N36,N40,N43,N44,N45,N46)</f>
        <v>205094</v>
      </c>
      <c r="O10" s="113">
        <f>SUM(O11,O15,O19,O24,O27,O33,O36,O40,O59,O43,O45,O46)</f>
        <v>211275</v>
      </c>
      <c r="P10" s="72">
        <f>SUM(P11,P15,P19,P24,P27,P33,P36,P40,P43,P44,P45,P46)</f>
        <v>241439</v>
      </c>
      <c r="Q10" s="113">
        <f>SUM(Q11,Q15,Q19,Q24,Q27,Q33,Q36,Q40,Q59,Q43,Q45,Q46)</f>
        <v>155810</v>
      </c>
      <c r="R10" s="71">
        <f>SUM(R11,R15,R19,R24,R27,R33,R36,R40,R43,R44,R45,R46)</f>
        <v>280476</v>
      </c>
      <c r="S10" s="71">
        <f>SUM(S11,S15,S19,S24,S27,S33,S36,S40,S43,S44,S45,S46)</f>
        <v>180410</v>
      </c>
      <c r="T10" s="71">
        <f>SUM(T11,T15,T19,T24,T27,T33,T36,T40,T43,T44,T45,T46)</f>
        <v>218570</v>
      </c>
      <c r="U10" s="71">
        <f>SUM(U11,U15,U19,U24,U27,U33,U36,U40,U43,U44,U45,U46)</f>
        <v>217950</v>
      </c>
      <c r="V10" s="71">
        <f>SUM(V11,V15,V19,V24,V27,V33,V36,V40,V43,V44,V45,V46)</f>
        <v>216397</v>
      </c>
      <c r="W10" s="71">
        <f>SUM(W11,W15,W19,W24,W27,W33,W36,W40,W43,W44,W45,W46)</f>
        <v>0</v>
      </c>
      <c r="X10" s="71">
        <f>SUM(X11,X15,X19,X24,X27,X33,X36,X40,X43,X44,X45,X46)</f>
        <v>0</v>
      </c>
    </row>
    <row r="11" spans="7:24" x14ac:dyDescent="0.25">
      <c r="G11" s="27"/>
      <c r="H11" s="7"/>
      <c r="I11" s="14" t="s">
        <v>4</v>
      </c>
      <c r="J11" s="15"/>
      <c r="K11" s="140"/>
      <c r="L11" s="75">
        <f t="shared" ref="L11:N11" si="9">SUM(L12:L14)</f>
        <v>12064</v>
      </c>
      <c r="M11" s="140"/>
      <c r="N11" s="75">
        <f t="shared" si="9"/>
        <v>14975</v>
      </c>
      <c r="O11" s="74">
        <f t="shared" ref="O11:P11" si="10">SUM(O12:O14)</f>
        <v>14100</v>
      </c>
      <c r="P11" s="73">
        <f t="shared" si="10"/>
        <v>14557</v>
      </c>
      <c r="Q11" s="74">
        <f t="shared" ref="Q11:R11" si="11">SUM(Q12:Q14)</f>
        <v>14500</v>
      </c>
      <c r="R11" s="91">
        <f t="shared" si="11"/>
        <v>15304</v>
      </c>
      <c r="S11" s="74">
        <f t="shared" ref="S11:T11" si="12">SUM(S12:S14)</f>
        <v>13000</v>
      </c>
      <c r="T11" s="91">
        <f t="shared" si="12"/>
        <v>14141</v>
      </c>
      <c r="U11" s="74">
        <f t="shared" ref="U11:V11" si="13">SUM(U12:U14)</f>
        <v>17000</v>
      </c>
      <c r="V11" s="91">
        <f t="shared" si="13"/>
        <v>17229</v>
      </c>
      <c r="W11" s="74">
        <f t="shared" ref="W11:X11" si="14">SUM(W12:W14)</f>
        <v>0</v>
      </c>
      <c r="X11" s="91">
        <f t="shared" si="14"/>
        <v>0</v>
      </c>
    </row>
    <row r="12" spans="7:24" x14ac:dyDescent="0.25">
      <c r="G12" s="27"/>
      <c r="H12" s="7"/>
      <c r="I12" s="7"/>
      <c r="J12" s="119" t="s">
        <v>5</v>
      </c>
      <c r="K12" s="141"/>
      <c r="L12" s="155">
        <f>2394+1806+2212</f>
        <v>6412</v>
      </c>
      <c r="M12" s="141"/>
      <c r="N12" s="154">
        <f>1935+1763+1677</f>
        <v>5375</v>
      </c>
      <c r="O12" s="107">
        <v>5900</v>
      </c>
      <c r="P12" s="106">
        <f>1462+1376+1548+344+172+43</f>
        <v>4945</v>
      </c>
      <c r="Q12" s="107">
        <v>5000</v>
      </c>
      <c r="R12" s="94">
        <f>115*43</f>
        <v>4945</v>
      </c>
      <c r="S12" s="107">
        <v>5000</v>
      </c>
      <c r="T12" s="94">
        <f>43*49+46*36+46*63</f>
        <v>6661</v>
      </c>
      <c r="U12" s="107">
        <v>6000</v>
      </c>
      <c r="V12" s="94">
        <f>183*46</f>
        <v>8418</v>
      </c>
      <c r="W12" s="107"/>
      <c r="X12" s="94"/>
    </row>
    <row r="13" spans="7:24" x14ac:dyDescent="0.25">
      <c r="G13" s="27"/>
      <c r="H13" s="7"/>
      <c r="I13" s="7"/>
      <c r="J13" s="9" t="s">
        <v>6</v>
      </c>
      <c r="K13" s="141"/>
      <c r="L13" s="154">
        <f>3007+503+310</f>
        <v>3820</v>
      </c>
      <c r="M13" s="141"/>
      <c r="N13" s="154">
        <f>1662+1290+1625</f>
        <v>4577</v>
      </c>
      <c r="O13" s="107">
        <v>4100</v>
      </c>
      <c r="P13" s="106">
        <f>4620</f>
        <v>4620</v>
      </c>
      <c r="Q13" s="107">
        <v>4500</v>
      </c>
      <c r="R13" s="94">
        <f>326+284+389+272+264+361+305+333+352+159+163+543+353+353+289+216+216+339+314</f>
        <v>5831</v>
      </c>
      <c r="S13" s="107">
        <v>6000</v>
      </c>
      <c r="T13" s="94">
        <f>543+353+353+289+216+339+314+243+211+778+788+369+347+254</f>
        <v>5397</v>
      </c>
      <c r="U13" s="107">
        <v>6000</v>
      </c>
      <c r="V13" s="94">
        <v>1683</v>
      </c>
      <c r="W13" s="107"/>
      <c r="X13" s="94"/>
    </row>
    <row r="14" spans="7:24" x14ac:dyDescent="0.25">
      <c r="G14" s="27"/>
      <c r="H14" s="7"/>
      <c r="I14" s="8"/>
      <c r="J14" s="10" t="s">
        <v>22</v>
      </c>
      <c r="K14" s="141"/>
      <c r="L14" s="154">
        <f>469+1363</f>
        <v>1832</v>
      </c>
      <c r="M14" s="141"/>
      <c r="N14" s="154">
        <f>1821+1380+1822</f>
        <v>5023</v>
      </c>
      <c r="O14" s="107">
        <v>4100</v>
      </c>
      <c r="P14" s="106">
        <f>906+469+469+469+884+884+469+442</f>
        <v>4992</v>
      </c>
      <c r="Q14" s="107">
        <v>5000</v>
      </c>
      <c r="R14" s="94">
        <f>442+442+442+469+442+469+442+469+442+469</f>
        <v>4528</v>
      </c>
      <c r="S14" s="107">
        <v>2000</v>
      </c>
      <c r="T14" s="94">
        <f>537+537+537+472</f>
        <v>2083</v>
      </c>
      <c r="U14" s="107">
        <v>5000</v>
      </c>
      <c r="V14" s="94">
        <f>472+537+537+472+537+472+537+472+537+537+537+472+537+472</f>
        <v>7128</v>
      </c>
      <c r="W14" s="107"/>
      <c r="X14" s="94"/>
    </row>
    <row r="15" spans="7:24" x14ac:dyDescent="0.25">
      <c r="G15" s="27"/>
      <c r="H15" s="7"/>
      <c r="I15" s="14" t="s">
        <v>8</v>
      </c>
      <c r="J15" s="15"/>
      <c r="K15" s="140"/>
      <c r="L15" s="75">
        <f t="shared" ref="L15:N15" si="15">SUM(L16:L18)</f>
        <v>87438</v>
      </c>
      <c r="M15" s="140"/>
      <c r="N15" s="75">
        <f t="shared" si="15"/>
        <v>66254</v>
      </c>
      <c r="O15" s="74">
        <f t="shared" ref="O15:T15" si="16">SUM(O16:O18)</f>
        <v>78000</v>
      </c>
      <c r="P15" s="73">
        <f t="shared" si="16"/>
        <v>88695</v>
      </c>
      <c r="Q15" s="74">
        <f t="shared" si="16"/>
        <v>83000</v>
      </c>
      <c r="R15" s="91">
        <f t="shared" si="16"/>
        <v>69467</v>
      </c>
      <c r="S15" s="74">
        <f t="shared" si="16"/>
        <v>73000</v>
      </c>
      <c r="T15" s="91">
        <f t="shared" si="16"/>
        <v>42817</v>
      </c>
      <c r="U15" s="74">
        <f t="shared" ref="U15:V15" si="17">SUM(U16:U18)</f>
        <v>45000</v>
      </c>
      <c r="V15" s="91">
        <f t="shared" si="17"/>
        <v>41557</v>
      </c>
      <c r="W15" s="74">
        <f t="shared" ref="W15:X15" si="18">SUM(W16:W18)</f>
        <v>0</v>
      </c>
      <c r="X15" s="91">
        <f t="shared" si="18"/>
        <v>0</v>
      </c>
    </row>
    <row r="16" spans="7:24" x14ac:dyDescent="0.25">
      <c r="G16" s="27"/>
      <c r="H16" s="7"/>
      <c r="I16" s="7"/>
      <c r="J16" s="119" t="s">
        <v>86</v>
      </c>
      <c r="K16" s="142"/>
      <c r="L16" s="155">
        <f>18503+11849+10369</f>
        <v>40721</v>
      </c>
      <c r="M16" s="142"/>
      <c r="N16" s="155">
        <f>10734+11259+6537</f>
        <v>28530</v>
      </c>
      <c r="O16" s="107">
        <v>35000</v>
      </c>
      <c r="P16" s="106">
        <f>7305+160+408+334+600+2040+150+339+80+561+160+120+130+275+610+305+266+250+92+73+420+150+407+619+350+160+7510+100+440+346+80+1304+80+150+170+70+173+400+994+480+166+1176+387+140+1139+150+247</f>
        <v>32066</v>
      </c>
      <c r="Q16" s="107">
        <v>35000</v>
      </c>
      <c r="R16" s="121">
        <f>1163+130+80+173+30+200+450+139+80+780+210+150+100+136+126+65+90+123+254+90+170+580+90+121+80+863+245+80+12080+80+254+40+80+85+80+140+65+70+80+65+62+175+125+80+814+390+139+140+94+70+90+104+240+220+110+95+80+284+95+94+420</f>
        <v>23838</v>
      </c>
      <c r="S16" s="107">
        <v>25000</v>
      </c>
      <c r="T16" s="94">
        <f>85+130+100+539+281+104+73+60+380+59+428+200+120+213+332+226+456+188+234+423+1129+150+683+139+27+100+420+330+330+63+843+691+696+696+857+606+102+535+565+877</f>
        <v>14470</v>
      </c>
      <c r="U16" s="107">
        <v>15000</v>
      </c>
      <c r="V16" s="94">
        <f>9159+855+853+2341</f>
        <v>13208</v>
      </c>
      <c r="W16" s="107"/>
      <c r="X16" s="94"/>
    </row>
    <row r="17" spans="7:24" x14ac:dyDescent="0.25">
      <c r="G17" s="27"/>
      <c r="H17" s="7"/>
      <c r="I17" s="7"/>
      <c r="J17" s="9" t="s">
        <v>10</v>
      </c>
      <c r="K17" s="141"/>
      <c r="L17" s="154">
        <f>10470+14130+11479</f>
        <v>36079</v>
      </c>
      <c r="M17" s="141"/>
      <c r="N17" s="154">
        <f>10345+9069+5402</f>
        <v>24816</v>
      </c>
      <c r="O17" s="107">
        <v>31000</v>
      </c>
      <c r="P17" s="106">
        <f>3245+838+654+1120+550+530+360+250+498+1044+400+1530+852+1147+2919+100+500+490+663+1772+640+480+200+807+350+250+11320+485+947+300+2400+800+950+1849+470+480+550+570+85+581+125+838+676+310+220+230+1049</f>
        <v>47424</v>
      </c>
      <c r="Q17" s="107">
        <v>30000</v>
      </c>
      <c r="R17" s="94">
        <f>520+500+230+230+815+1573+2630+230+1080+2680+450+420+150+1175+270+954+550+320+740+550+250+500+480</f>
        <v>17297</v>
      </c>
      <c r="S17" s="107">
        <v>20000</v>
      </c>
      <c r="T17" s="94">
        <f>150+150+250+1180+1120+748+150+500+320+700+600+370+753+860+200+2093+700+500+1741+504+2260+2820+1100+3790+1570+248</f>
        <v>25377</v>
      </c>
      <c r="U17" s="107">
        <v>25000</v>
      </c>
      <c r="V17" s="94">
        <f>370+500+1629+1100+500+191+1210+267+267+327+500+150+267+1712+825+496+300+134+3550+3830+300+700+308+285+676</f>
        <v>20394</v>
      </c>
      <c r="W17" s="107"/>
      <c r="X17" s="94"/>
    </row>
    <row r="18" spans="7:24" x14ac:dyDescent="0.25">
      <c r="G18" s="27"/>
      <c r="H18" s="7"/>
      <c r="I18" s="7"/>
      <c r="J18" s="62" t="s">
        <v>11</v>
      </c>
      <c r="K18" s="141"/>
      <c r="L18" s="154">
        <f>5776+590+4272</f>
        <v>10638</v>
      </c>
      <c r="M18" s="141"/>
      <c r="N18" s="154">
        <f>5234+4121+3553</f>
        <v>12908</v>
      </c>
      <c r="O18" s="107">
        <v>12000</v>
      </c>
      <c r="P18" s="106">
        <f>908+100+475+147+176+118+226+295+182+438+212+304+191+376+250+192+294+1102+480+90+269+278+454+80+143+258+242+165+225+280+255</f>
        <v>9205</v>
      </c>
      <c r="Q18" s="107">
        <v>18000</v>
      </c>
      <c r="R18" s="94">
        <f>165+223+207+145+359+134+480+225+165+260+224+237+838+537+215+283+85+225+195+520+250+195+324+145+243+290+80+185+383+379+480+251+292+135+253+198+176+285+330+193+237+480+186+309+265+202+403+310+250+208+250+173+250+263+224+238+237+480+250+85+195+154+173+580+141+182+140+250+244+152+574+210+480+245+138+203+250+636+259+438+250+181+375+140+223+280+445+371+327+390+143+87+480+250+400+250+206+149+150+289+483+189+410+131</f>
        <v>28332</v>
      </c>
      <c r="S18" s="107">
        <v>28000</v>
      </c>
      <c r="T18" s="94">
        <f>168+548+250+250+370+215+217+12+300+165+145+80+250</f>
        <v>2970</v>
      </c>
      <c r="U18" s="107">
        <v>5000</v>
      </c>
      <c r="V18" s="94">
        <f>80+80+80+325+140+450+80+279+504+650+290+310+80+290+500+390+485+485+500+460+87+475+485+270+180</f>
        <v>7955</v>
      </c>
      <c r="W18" s="107"/>
      <c r="X18" s="94"/>
    </row>
    <row r="19" spans="7:24" x14ac:dyDescent="0.25">
      <c r="G19" s="27"/>
      <c r="H19" s="7"/>
      <c r="I19" s="171" t="s">
        <v>101</v>
      </c>
      <c r="J19" s="15"/>
      <c r="K19" s="140"/>
      <c r="L19" s="75">
        <f t="shared" ref="L19" si="19">SUM(L20:L23)</f>
        <v>45731</v>
      </c>
      <c r="M19" s="140"/>
      <c r="N19" s="75">
        <f t="shared" ref="N19:T19" si="20">SUM(N20:N23)</f>
        <v>20758</v>
      </c>
      <c r="O19" s="74">
        <f t="shared" si="20"/>
        <v>19000</v>
      </c>
      <c r="P19" s="73">
        <f t="shared" si="20"/>
        <v>19412</v>
      </c>
      <c r="Q19" s="74">
        <f t="shared" si="20"/>
        <v>20500</v>
      </c>
      <c r="R19" s="91">
        <f t="shared" si="20"/>
        <v>28408</v>
      </c>
      <c r="S19" s="74">
        <f t="shared" si="20"/>
        <v>37500</v>
      </c>
      <c r="T19" s="91">
        <f t="shared" si="20"/>
        <v>41454</v>
      </c>
      <c r="U19" s="74">
        <f t="shared" ref="U19:V19" si="21">SUM(U20:U23)</f>
        <v>25000</v>
      </c>
      <c r="V19" s="91">
        <f t="shared" si="21"/>
        <v>34987</v>
      </c>
      <c r="W19" s="74">
        <f t="shared" ref="W19:X19" si="22">SUM(W20:W23)</f>
        <v>0</v>
      </c>
      <c r="X19" s="91">
        <f t="shared" si="22"/>
        <v>0</v>
      </c>
    </row>
    <row r="20" spans="7:24" x14ac:dyDescent="0.25">
      <c r="G20" s="27"/>
      <c r="H20" s="7"/>
      <c r="I20" s="7"/>
      <c r="J20" s="9" t="s">
        <v>14</v>
      </c>
      <c r="K20" s="142"/>
      <c r="L20" s="155">
        <f>6034+6424+5654</f>
        <v>18112</v>
      </c>
      <c r="M20" s="142"/>
      <c r="N20" s="155">
        <f>6987+6168+6304</f>
        <v>19459</v>
      </c>
      <c r="O20" s="107">
        <v>19000</v>
      </c>
      <c r="P20" s="106">
        <f>4456+4731+1329+4579</f>
        <v>15095</v>
      </c>
      <c r="Q20" s="107">
        <v>16500</v>
      </c>
      <c r="R20" s="94">
        <f>6008+5250+3873</f>
        <v>15131</v>
      </c>
      <c r="S20" s="107">
        <v>18500</v>
      </c>
      <c r="T20" s="94">
        <f>6375+6946+8152</f>
        <v>21473</v>
      </c>
      <c r="U20" s="107">
        <v>20000</v>
      </c>
      <c r="V20" s="94">
        <f>9456+7977+3843+6900+549</f>
        <v>28725</v>
      </c>
      <c r="W20" s="107"/>
      <c r="X20" s="94"/>
    </row>
    <row r="21" spans="7:24" x14ac:dyDescent="0.25">
      <c r="G21" s="27"/>
      <c r="H21" s="7"/>
      <c r="I21" s="7"/>
      <c r="J21" s="19" t="s">
        <v>32</v>
      </c>
      <c r="K21" s="141"/>
      <c r="L21" s="154">
        <f>10076+3250+925</f>
        <v>14251</v>
      </c>
      <c r="M21" s="141"/>
      <c r="N21" s="154">
        <v>1299</v>
      </c>
      <c r="O21" s="107"/>
      <c r="P21" s="106">
        <f>1044+85+301+2641+246</f>
        <v>4317</v>
      </c>
      <c r="Q21" s="107">
        <v>4000</v>
      </c>
      <c r="R21" s="94">
        <f>238+143+120+1361+230+910+807+210+168+854+520+1380</f>
        <v>6941</v>
      </c>
      <c r="S21" s="107">
        <v>4000</v>
      </c>
      <c r="T21" s="94">
        <f>288+236+1006+1006+240+385+390+629+272+523+261+2783</f>
        <v>8019</v>
      </c>
      <c r="U21" s="107">
        <v>5000</v>
      </c>
      <c r="V21" s="94">
        <f>4675+80+549+737+221</f>
        <v>6262</v>
      </c>
      <c r="W21" s="107"/>
      <c r="X21" s="94"/>
    </row>
    <row r="22" spans="7:24" x14ac:dyDescent="0.25">
      <c r="G22" s="27"/>
      <c r="H22" s="7"/>
      <c r="I22" s="7"/>
      <c r="J22" s="119" t="s">
        <v>53</v>
      </c>
      <c r="K22" s="141"/>
      <c r="L22" s="154">
        <f>12190</f>
        <v>12190</v>
      </c>
      <c r="M22" s="141"/>
      <c r="N22" s="154"/>
      <c r="O22" s="107"/>
      <c r="P22" s="106"/>
      <c r="Q22" s="107"/>
      <c r="R22" s="94"/>
      <c r="S22" s="107">
        <v>15000</v>
      </c>
      <c r="T22" s="94">
        <v>11962</v>
      </c>
      <c r="U22" s="107"/>
      <c r="V22" s="94"/>
      <c r="W22" s="107"/>
      <c r="X22" s="94"/>
    </row>
    <row r="23" spans="7:24" x14ac:dyDescent="0.25">
      <c r="G23" s="27"/>
      <c r="H23" s="7"/>
      <c r="I23" s="8"/>
      <c r="J23" s="120" t="s">
        <v>85</v>
      </c>
      <c r="K23" s="143"/>
      <c r="L23" s="156">
        <f>1178</f>
        <v>1178</v>
      </c>
      <c r="M23" s="143"/>
      <c r="N23" s="156"/>
      <c r="O23" s="93"/>
      <c r="P23" s="106"/>
      <c r="Q23" s="93"/>
      <c r="R23" s="94">
        <v>6336</v>
      </c>
      <c r="S23" s="93"/>
      <c r="T23" s="94"/>
      <c r="U23" s="93"/>
      <c r="V23" s="94"/>
      <c r="W23" s="93"/>
      <c r="X23" s="94"/>
    </row>
    <row r="24" spans="7:24" x14ac:dyDescent="0.25">
      <c r="G24" s="27"/>
      <c r="H24" s="7"/>
      <c r="I24" s="14" t="s">
        <v>16</v>
      </c>
      <c r="J24" s="15"/>
      <c r="K24" s="140"/>
      <c r="L24" s="75">
        <f t="shared" ref="L24:N24" si="23">SUM(L25:L26)</f>
        <v>94570</v>
      </c>
      <c r="M24" s="140"/>
      <c r="N24" s="75">
        <f t="shared" si="23"/>
        <v>87362</v>
      </c>
      <c r="O24" s="74">
        <f t="shared" ref="O24:P24" si="24">SUM(O25:O26)</f>
        <v>68600</v>
      </c>
      <c r="P24" s="73">
        <f t="shared" si="24"/>
        <v>59401</v>
      </c>
      <c r="Q24" s="74">
        <f t="shared" ref="Q24:R24" si="25">SUM(Q25:Q26)</f>
        <v>10000</v>
      </c>
      <c r="R24" s="91">
        <f t="shared" si="25"/>
        <v>77269</v>
      </c>
      <c r="S24" s="74">
        <f t="shared" ref="S24:T24" si="26">SUM(S25:S26)</f>
        <v>12000</v>
      </c>
      <c r="T24" s="91">
        <f t="shared" si="26"/>
        <v>18480</v>
      </c>
      <c r="U24" s="74">
        <f t="shared" ref="U24:V24" si="27">SUM(U25:U26)</f>
        <v>30000</v>
      </c>
      <c r="V24" s="91">
        <f t="shared" si="27"/>
        <v>34200</v>
      </c>
      <c r="W24" s="74">
        <f t="shared" ref="W24:X24" si="28">SUM(W25:W26)</f>
        <v>0</v>
      </c>
      <c r="X24" s="91">
        <f t="shared" si="28"/>
        <v>0</v>
      </c>
    </row>
    <row r="25" spans="7:24" x14ac:dyDescent="0.25">
      <c r="G25" s="27"/>
      <c r="H25" s="7"/>
      <c r="I25" s="7"/>
      <c r="J25" s="9" t="s">
        <v>17</v>
      </c>
      <c r="K25" s="141"/>
      <c r="L25" s="154">
        <f>20000+22500+25770</f>
        <v>68270</v>
      </c>
      <c r="M25" s="141"/>
      <c r="N25" s="154">
        <f>22000+15000+25255</f>
        <v>62255</v>
      </c>
      <c r="O25" s="107">
        <v>65000</v>
      </c>
      <c r="P25" s="106">
        <f>10000+10000+5000+1100+5000+10000</f>
        <v>41100</v>
      </c>
      <c r="Q25" s="107"/>
      <c r="R25" s="94">
        <v>68500</v>
      </c>
      <c r="S25" s="107">
        <v>10000</v>
      </c>
      <c r="T25" s="94">
        <f>4471+109+8900</f>
        <v>13480</v>
      </c>
      <c r="U25" s="107">
        <v>20000</v>
      </c>
      <c r="V25" s="94">
        <f>6030+15000+5000</f>
        <v>26030</v>
      </c>
      <c r="W25" s="107"/>
      <c r="X25" s="94"/>
    </row>
    <row r="26" spans="7:24" x14ac:dyDescent="0.25">
      <c r="G26" s="27"/>
      <c r="H26" s="7"/>
      <c r="I26" s="8"/>
      <c r="J26" s="20" t="s">
        <v>7</v>
      </c>
      <c r="K26" s="143"/>
      <c r="L26" s="156">
        <f>19857+6443</f>
        <v>26300</v>
      </c>
      <c r="M26" s="143"/>
      <c r="N26" s="156">
        <f>18618+2889+3600</f>
        <v>25107</v>
      </c>
      <c r="O26" s="93">
        <v>3600</v>
      </c>
      <c r="P26" s="106">
        <f>6750+149+2000+9402</f>
        <v>18301</v>
      </c>
      <c r="Q26" s="93">
        <v>10000</v>
      </c>
      <c r="R26" s="94">
        <v>8769</v>
      </c>
      <c r="S26" s="93">
        <v>2000</v>
      </c>
      <c r="T26" s="94">
        <f>5000</f>
        <v>5000</v>
      </c>
      <c r="U26" s="93">
        <v>10000</v>
      </c>
      <c r="V26" s="94">
        <f>3170+5000</f>
        <v>8170</v>
      </c>
      <c r="W26" s="93"/>
      <c r="X26" s="94"/>
    </row>
    <row r="27" spans="7:24" x14ac:dyDescent="0.25">
      <c r="G27" s="27"/>
      <c r="H27" s="7"/>
      <c r="I27" s="21" t="s">
        <v>29</v>
      </c>
      <c r="J27" s="11"/>
      <c r="K27" s="144"/>
      <c r="L27" s="79">
        <f t="shared" ref="L27:N27" si="29">SUM(L28:L32)</f>
        <v>7570</v>
      </c>
      <c r="M27" s="144"/>
      <c r="N27" s="79">
        <f t="shared" si="29"/>
        <v>9999</v>
      </c>
      <c r="O27" s="78">
        <f t="shared" ref="O27:P27" si="30">SUM(O28:O32)</f>
        <v>4320</v>
      </c>
      <c r="P27" s="73">
        <f t="shared" si="30"/>
        <v>3780</v>
      </c>
      <c r="Q27" s="78">
        <f t="shared" ref="Q27:R27" si="31">SUM(Q28:Q32)</f>
        <v>2610</v>
      </c>
      <c r="R27" s="91">
        <f t="shared" si="31"/>
        <v>2728</v>
      </c>
      <c r="S27" s="78">
        <f t="shared" ref="S27:T27" si="32">SUM(S28:S32)</f>
        <v>2610</v>
      </c>
      <c r="T27" s="91">
        <f t="shared" si="32"/>
        <v>6240</v>
      </c>
      <c r="U27" s="78">
        <f t="shared" ref="U27:V27" si="33">SUM(U28:U32)</f>
        <v>13350</v>
      </c>
      <c r="V27" s="91">
        <f t="shared" si="33"/>
        <v>8424</v>
      </c>
      <c r="W27" s="78">
        <f t="shared" ref="W27:X27" si="34">SUM(W28:W32)</f>
        <v>0</v>
      </c>
      <c r="X27" s="91">
        <f t="shared" si="34"/>
        <v>0</v>
      </c>
    </row>
    <row r="28" spans="7:24" x14ac:dyDescent="0.25">
      <c r="G28" s="27"/>
      <c r="H28" s="7"/>
      <c r="I28" s="7"/>
      <c r="J28" s="35" t="s">
        <v>49</v>
      </c>
      <c r="K28" s="141"/>
      <c r="L28" s="154">
        <f>900+900+900</f>
        <v>2700</v>
      </c>
      <c r="M28" s="141"/>
      <c r="N28" s="154">
        <f>900+300+450</f>
        <v>1650</v>
      </c>
      <c r="O28" s="107">
        <v>1350</v>
      </c>
      <c r="P28" s="106">
        <f>450+450+450</f>
        <v>1350</v>
      </c>
      <c r="Q28" s="107">
        <v>1350</v>
      </c>
      <c r="R28" s="94">
        <f>450*3+118</f>
        <v>1468</v>
      </c>
      <c r="S28" s="107">
        <v>1350</v>
      </c>
      <c r="T28" s="94">
        <f>450+70+100+550</f>
        <v>1170</v>
      </c>
      <c r="U28" s="107">
        <v>1350</v>
      </c>
      <c r="V28" s="94">
        <f>50+550+50+550+550</f>
        <v>1750</v>
      </c>
      <c r="W28" s="107"/>
      <c r="X28" s="94"/>
    </row>
    <row r="29" spans="7:24" x14ac:dyDescent="0.25">
      <c r="G29" s="27"/>
      <c r="H29" s="7"/>
      <c r="I29" s="7"/>
      <c r="J29" s="9" t="s">
        <v>27</v>
      </c>
      <c r="K29" s="141"/>
      <c r="L29" s="154"/>
      <c r="M29" s="141"/>
      <c r="N29" s="154">
        <f>3889</f>
        <v>3889</v>
      </c>
      <c r="O29" s="107"/>
      <c r="P29" s="106"/>
      <c r="Q29" s="107"/>
      <c r="R29" s="94"/>
      <c r="S29" s="107"/>
      <c r="T29" s="94"/>
      <c r="U29" s="107">
        <v>4000</v>
      </c>
      <c r="V29" s="94"/>
      <c r="W29" s="107"/>
      <c r="X29" s="94"/>
    </row>
    <row r="30" spans="7:24" x14ac:dyDescent="0.25">
      <c r="G30" s="27"/>
      <c r="H30" s="7"/>
      <c r="I30" s="7"/>
      <c r="J30" s="9" t="s">
        <v>28</v>
      </c>
      <c r="K30" s="141"/>
      <c r="L30" s="154"/>
      <c r="M30" s="141"/>
      <c r="N30" s="154">
        <v>990</v>
      </c>
      <c r="O30" s="107"/>
      <c r="P30" s="106"/>
      <c r="Q30" s="107"/>
      <c r="R30" s="94"/>
      <c r="S30" s="107"/>
      <c r="T30" s="94"/>
      <c r="U30" s="107">
        <v>1000</v>
      </c>
      <c r="V30" s="94">
        <v>1599</v>
      </c>
      <c r="W30" s="107"/>
      <c r="X30" s="94"/>
    </row>
    <row r="31" spans="7:24" x14ac:dyDescent="0.25">
      <c r="G31" s="27"/>
      <c r="H31" s="7"/>
      <c r="I31" s="7"/>
      <c r="J31" s="35" t="s">
        <v>48</v>
      </c>
      <c r="K31" s="142"/>
      <c r="L31" s="155">
        <f>1700+1700+300</f>
        <v>3700</v>
      </c>
      <c r="M31" s="142"/>
      <c r="N31" s="155">
        <f>1700+300+300</f>
        <v>2300</v>
      </c>
      <c r="O31" s="107">
        <v>1800</v>
      </c>
      <c r="P31" s="106">
        <f>600+600</f>
        <v>1200</v>
      </c>
      <c r="Q31" s="107"/>
      <c r="R31" s="94"/>
      <c r="S31" s="107"/>
      <c r="T31" s="94">
        <f>1900+1900</f>
        <v>3800</v>
      </c>
      <c r="U31" s="107">
        <v>5700</v>
      </c>
      <c r="V31" s="94">
        <f>1900+1900</f>
        <v>3800</v>
      </c>
      <c r="W31" s="107"/>
      <c r="X31" s="94"/>
    </row>
    <row r="32" spans="7:24" x14ac:dyDescent="0.25">
      <c r="G32" s="27"/>
      <c r="H32" s="7"/>
      <c r="I32" s="8"/>
      <c r="J32" s="10" t="s">
        <v>19</v>
      </c>
      <c r="K32" s="143"/>
      <c r="L32" s="156">
        <f>390+390+390</f>
        <v>1170</v>
      </c>
      <c r="M32" s="143"/>
      <c r="N32" s="156">
        <f>390+390+390</f>
        <v>1170</v>
      </c>
      <c r="O32" s="93">
        <v>1170</v>
      </c>
      <c r="P32" s="159">
        <f>390+420+420</f>
        <v>1230</v>
      </c>
      <c r="Q32" s="93">
        <v>1260</v>
      </c>
      <c r="R32" s="108">
        <f>420*3</f>
        <v>1260</v>
      </c>
      <c r="S32" s="93">
        <v>1260</v>
      </c>
      <c r="T32" s="108">
        <f>420+425+425</f>
        <v>1270</v>
      </c>
      <c r="U32" s="93">
        <v>1300</v>
      </c>
      <c r="V32" s="108">
        <f>425+425+425</f>
        <v>1275</v>
      </c>
      <c r="W32" s="93"/>
      <c r="X32" s="108"/>
    </row>
    <row r="33" spans="7:24" x14ac:dyDescent="0.25">
      <c r="G33" s="27"/>
      <c r="H33" s="7"/>
      <c r="I33" s="14" t="s">
        <v>25</v>
      </c>
      <c r="J33" s="15"/>
      <c r="K33" s="140"/>
      <c r="L33" s="75">
        <f t="shared" ref="L33:N33" si="35">SUM(L34:L35)</f>
        <v>4672</v>
      </c>
      <c r="M33" s="140"/>
      <c r="N33" s="75">
        <f t="shared" si="35"/>
        <v>1869</v>
      </c>
      <c r="O33" s="74">
        <f t="shared" ref="O33:P33" si="36">SUM(O34:O35)</f>
        <v>5812</v>
      </c>
      <c r="P33" s="73">
        <f t="shared" si="36"/>
        <v>14413</v>
      </c>
      <c r="Q33" s="74">
        <f t="shared" ref="Q33:R33" si="37">SUM(Q34:Q35)</f>
        <v>18200</v>
      </c>
      <c r="R33" s="91">
        <f t="shared" si="37"/>
        <v>23068</v>
      </c>
      <c r="S33" s="74">
        <f t="shared" ref="S33:T33" si="38">SUM(S34:S35)</f>
        <v>3200</v>
      </c>
      <c r="T33" s="91">
        <f t="shared" si="38"/>
        <v>14801</v>
      </c>
      <c r="U33" s="74">
        <f t="shared" ref="U33:V33" si="39">SUM(U34:U35)</f>
        <v>18600</v>
      </c>
      <c r="V33" s="91">
        <f t="shared" si="39"/>
        <v>17575</v>
      </c>
      <c r="W33" s="74">
        <f t="shared" ref="W33:X33" si="40">SUM(W34:W35)</f>
        <v>0</v>
      </c>
      <c r="X33" s="91">
        <f t="shared" si="40"/>
        <v>0</v>
      </c>
    </row>
    <row r="34" spans="7:24" x14ac:dyDescent="0.25">
      <c r="G34" s="27"/>
      <c r="H34" s="7"/>
      <c r="I34" s="7"/>
      <c r="J34" s="9" t="s">
        <v>12</v>
      </c>
      <c r="K34" s="141"/>
      <c r="L34" s="154">
        <f>1600+1600</f>
        <v>3200</v>
      </c>
      <c r="M34" s="141"/>
      <c r="N34" s="154">
        <v>1600</v>
      </c>
      <c r="O34" s="107">
        <v>3200</v>
      </c>
      <c r="P34" s="106">
        <f>1600</f>
        <v>1600</v>
      </c>
      <c r="Q34" s="107">
        <v>3200</v>
      </c>
      <c r="R34" s="121">
        <f>1600+1600</f>
        <v>3200</v>
      </c>
      <c r="S34" s="107">
        <v>3200</v>
      </c>
      <c r="T34" s="94">
        <f>1800+1800</f>
        <v>3600</v>
      </c>
      <c r="U34" s="107">
        <v>3600</v>
      </c>
      <c r="V34" s="94">
        <f>1800+1800</f>
        <v>3600</v>
      </c>
      <c r="W34" s="107"/>
      <c r="X34" s="94"/>
    </row>
    <row r="35" spans="7:24" x14ac:dyDescent="0.25">
      <c r="G35" s="27"/>
      <c r="H35" s="7"/>
      <c r="I35" s="8"/>
      <c r="J35" s="20" t="s">
        <v>9</v>
      </c>
      <c r="K35" s="141"/>
      <c r="L35" s="154">
        <f>1472</f>
        <v>1472</v>
      </c>
      <c r="M35" s="141"/>
      <c r="N35" s="154">
        <v>269</v>
      </c>
      <c r="O35" s="107">
        <v>2612</v>
      </c>
      <c r="P35" s="92">
        <f>2448+807+3658+299+3600+2001</f>
        <v>12813</v>
      </c>
      <c r="Q35" s="107">
        <v>15000</v>
      </c>
      <c r="R35" s="109">
        <f>276+1638+365+4612+6878+665+3839+1595</f>
        <v>19868</v>
      </c>
      <c r="S35" s="107"/>
      <c r="T35" s="109">
        <f>6341+3140+1720</f>
        <v>11201</v>
      </c>
      <c r="U35" s="107">
        <v>15000</v>
      </c>
      <c r="V35" s="109">
        <f>1609+908+5697+5222+539</f>
        <v>13975</v>
      </c>
      <c r="W35" s="107"/>
      <c r="X35" s="109"/>
    </row>
    <row r="36" spans="7:24" x14ac:dyDescent="0.25">
      <c r="G36" s="27"/>
      <c r="H36" s="7"/>
      <c r="I36" s="14" t="s">
        <v>20</v>
      </c>
      <c r="J36" s="15"/>
      <c r="K36" s="140"/>
      <c r="L36" s="75">
        <f t="shared" ref="L36:N36" si="41">SUM(L37:L39)</f>
        <v>7818</v>
      </c>
      <c r="M36" s="140"/>
      <c r="N36" s="75">
        <f t="shared" si="41"/>
        <v>1012</v>
      </c>
      <c r="O36" s="74">
        <f t="shared" ref="O36:P36" si="42">SUM(O37:O39)</f>
        <v>1227</v>
      </c>
      <c r="P36" s="73">
        <f t="shared" si="42"/>
        <v>0</v>
      </c>
      <c r="Q36" s="74">
        <f t="shared" ref="Q36:R36" si="43">SUM(Q37:Q39)</f>
        <v>500</v>
      </c>
      <c r="R36" s="91">
        <f t="shared" si="43"/>
        <v>30299</v>
      </c>
      <c r="S36" s="74">
        <f t="shared" ref="S36:T36" si="44">SUM(S37:S39)</f>
        <v>7100</v>
      </c>
      <c r="T36" s="91">
        <f t="shared" si="44"/>
        <v>608</v>
      </c>
      <c r="U36" s="74">
        <f t="shared" ref="U36:V36" si="45">SUM(U37:U39)</f>
        <v>6000</v>
      </c>
      <c r="V36" s="91">
        <f t="shared" si="45"/>
        <v>367</v>
      </c>
      <c r="W36" s="74">
        <f t="shared" ref="W36:X36" si="46">SUM(W37:W39)</f>
        <v>0</v>
      </c>
      <c r="X36" s="91">
        <f t="shared" si="46"/>
        <v>0</v>
      </c>
    </row>
    <row r="37" spans="7:24" x14ac:dyDescent="0.25">
      <c r="G37" s="27"/>
      <c r="H37" s="7"/>
      <c r="I37" s="7"/>
      <c r="J37" s="9" t="s">
        <v>13</v>
      </c>
      <c r="K37" s="141"/>
      <c r="L37" s="154">
        <f>99+710+627</f>
        <v>1436</v>
      </c>
      <c r="M37" s="141"/>
      <c r="N37" s="154">
        <v>200</v>
      </c>
      <c r="O37" s="107">
        <v>1227</v>
      </c>
      <c r="P37" s="106"/>
      <c r="Q37" s="107">
        <v>500</v>
      </c>
      <c r="R37" s="94"/>
      <c r="S37" s="107">
        <v>1500</v>
      </c>
      <c r="T37" s="94">
        <f>239</f>
        <v>239</v>
      </c>
      <c r="U37" s="107">
        <v>1000</v>
      </c>
      <c r="V37" s="94">
        <f>237+130</f>
        <v>367</v>
      </c>
      <c r="W37" s="107"/>
      <c r="X37" s="94"/>
    </row>
    <row r="38" spans="7:24" x14ac:dyDescent="0.25">
      <c r="G38" s="27"/>
      <c r="H38" s="7"/>
      <c r="I38" s="7"/>
      <c r="J38" s="9" t="s">
        <v>21</v>
      </c>
      <c r="K38" s="141"/>
      <c r="L38" s="154">
        <f>5600</f>
        <v>5600</v>
      </c>
      <c r="M38" s="141"/>
      <c r="N38" s="154"/>
      <c r="O38" s="107"/>
      <c r="P38" s="106"/>
      <c r="Q38" s="107"/>
      <c r="R38" s="94"/>
      <c r="S38" s="107">
        <v>5600</v>
      </c>
      <c r="T38" s="94"/>
      <c r="U38" s="107">
        <v>5000</v>
      </c>
      <c r="V38" s="94"/>
      <c r="W38" s="107"/>
      <c r="X38" s="94"/>
    </row>
    <row r="39" spans="7:24" x14ac:dyDescent="0.25">
      <c r="G39" s="27"/>
      <c r="H39" s="7"/>
      <c r="I39" s="8"/>
      <c r="J39" s="20" t="s">
        <v>33</v>
      </c>
      <c r="K39" s="141"/>
      <c r="L39" s="154">
        <f>782</f>
        <v>782</v>
      </c>
      <c r="M39" s="141"/>
      <c r="N39" s="154">
        <v>812</v>
      </c>
      <c r="O39" s="107"/>
      <c r="P39" s="92"/>
      <c r="Q39" s="107"/>
      <c r="R39" s="109">
        <f>24864+2590+2402+443</f>
        <v>30299</v>
      </c>
      <c r="S39" s="107"/>
      <c r="T39" s="109">
        <f>369</f>
        <v>369</v>
      </c>
      <c r="U39" s="107"/>
      <c r="V39" s="109"/>
      <c r="W39" s="107"/>
      <c r="X39" s="109"/>
    </row>
    <row r="40" spans="7:24" x14ac:dyDescent="0.25">
      <c r="G40" s="27"/>
      <c r="H40" s="7"/>
      <c r="I40" s="21" t="s">
        <v>23</v>
      </c>
      <c r="J40" s="11"/>
      <c r="K40" s="140"/>
      <c r="L40" s="75">
        <f t="shared" ref="L40:N40" si="47">SUM(L41:L42)</f>
        <v>27034</v>
      </c>
      <c r="M40" s="140"/>
      <c r="N40" s="75">
        <f t="shared" si="47"/>
        <v>2113</v>
      </c>
      <c r="O40" s="74">
        <f t="shared" ref="O40:P40" si="48">SUM(O41:O42)</f>
        <v>16216</v>
      </c>
      <c r="P40" s="73">
        <f t="shared" si="48"/>
        <v>27354</v>
      </c>
      <c r="Q40" s="74">
        <f t="shared" ref="Q40:R40" si="49">SUM(Q41:Q42)</f>
        <v>1500</v>
      </c>
      <c r="R40" s="91">
        <f t="shared" si="49"/>
        <v>0</v>
      </c>
      <c r="S40" s="74">
        <f t="shared" ref="S40:T40" si="50">SUM(S41:S42)</f>
        <v>1500</v>
      </c>
      <c r="T40" s="91">
        <f t="shared" si="50"/>
        <v>3073</v>
      </c>
      <c r="U40" s="74">
        <f t="shared" ref="U40:V40" si="51">SUM(U41:U42)</f>
        <v>3000</v>
      </c>
      <c r="V40" s="91">
        <f t="shared" si="51"/>
        <v>5925</v>
      </c>
      <c r="W40" s="74">
        <f t="shared" ref="W40:X40" si="52">SUM(W41:W42)</f>
        <v>0</v>
      </c>
      <c r="X40" s="91">
        <f t="shared" si="52"/>
        <v>0</v>
      </c>
    </row>
    <row r="41" spans="7:24" x14ac:dyDescent="0.25">
      <c r="G41" s="27"/>
      <c r="H41" s="7"/>
      <c r="I41" s="7"/>
      <c r="J41" s="9" t="s">
        <v>24</v>
      </c>
      <c r="K41" s="141"/>
      <c r="L41" s="154">
        <f>1467+817</f>
        <v>2284</v>
      </c>
      <c r="M41" s="141"/>
      <c r="N41" s="154">
        <v>2113</v>
      </c>
      <c r="O41" s="107">
        <v>1466</v>
      </c>
      <c r="P41" s="106">
        <f>1404</f>
        <v>1404</v>
      </c>
      <c r="Q41" s="107">
        <v>1500</v>
      </c>
      <c r="R41" s="94"/>
      <c r="S41" s="107">
        <v>1500</v>
      </c>
      <c r="T41" s="94">
        <f>2748+325</f>
        <v>3073</v>
      </c>
      <c r="U41" s="107">
        <v>3000</v>
      </c>
      <c r="V41" s="94">
        <f>649+902+286+404+1222+1496+966</f>
        <v>5925</v>
      </c>
      <c r="W41" s="107"/>
      <c r="X41" s="94"/>
    </row>
    <row r="42" spans="7:24" x14ac:dyDescent="0.25">
      <c r="G42" s="27"/>
      <c r="H42" s="7"/>
      <c r="I42" s="8"/>
      <c r="J42" s="10" t="s">
        <v>30</v>
      </c>
      <c r="K42" s="143"/>
      <c r="L42" s="156">
        <f>24750</f>
        <v>24750</v>
      </c>
      <c r="M42" s="143"/>
      <c r="N42" s="156"/>
      <c r="O42" s="93">
        <v>14750</v>
      </c>
      <c r="P42" s="92">
        <f>25950</f>
        <v>25950</v>
      </c>
      <c r="Q42" s="93"/>
      <c r="R42" s="109"/>
      <c r="S42" s="93"/>
      <c r="T42" s="109"/>
      <c r="U42" s="93"/>
      <c r="V42" s="109"/>
      <c r="W42" s="93"/>
      <c r="X42" s="109"/>
    </row>
    <row r="43" spans="7:24" x14ac:dyDescent="0.25">
      <c r="G43" s="27"/>
      <c r="H43" s="7"/>
      <c r="I43" s="50" t="s">
        <v>34</v>
      </c>
      <c r="J43" s="18"/>
      <c r="K43" s="145"/>
      <c r="L43" s="77">
        <f>18323+24000</f>
        <v>42323</v>
      </c>
      <c r="M43" s="145"/>
      <c r="N43" s="77"/>
      <c r="O43" s="76"/>
      <c r="P43" s="110"/>
      <c r="Q43" s="76"/>
      <c r="R43" s="111">
        <v>6000</v>
      </c>
      <c r="S43" s="76"/>
      <c r="T43" s="111">
        <v>20624</v>
      </c>
      <c r="U43" s="76">
        <v>10000</v>
      </c>
      <c r="V43" s="111">
        <f>295+335</f>
        <v>630</v>
      </c>
      <c r="W43" s="76"/>
      <c r="X43" s="111"/>
    </row>
    <row r="44" spans="7:24" x14ac:dyDescent="0.25">
      <c r="G44" s="27"/>
      <c r="H44" s="7"/>
      <c r="I44" s="122" t="s">
        <v>87</v>
      </c>
      <c r="J44" s="18"/>
      <c r="K44" s="145"/>
      <c r="L44" s="77"/>
      <c r="M44" s="145"/>
      <c r="N44" s="77"/>
      <c r="O44" s="76"/>
      <c r="P44" s="110"/>
      <c r="Q44" s="76"/>
      <c r="R44" s="123">
        <f>5000+2500+5000+2500+3000+5000+2500</f>
        <v>25500</v>
      </c>
      <c r="S44" s="76">
        <v>25500</v>
      </c>
      <c r="T44" s="111">
        <f>3000+1000+5000+2500+5000+2500+2500+2500+5000+5000+1000</f>
        <v>35000</v>
      </c>
      <c r="U44" s="76">
        <v>30000</v>
      </c>
      <c r="V44" s="111">
        <v>43600</v>
      </c>
      <c r="W44" s="76"/>
      <c r="X44" s="111"/>
    </row>
    <row r="45" spans="7:24" x14ac:dyDescent="0.25">
      <c r="G45" s="27"/>
      <c r="H45" s="7"/>
      <c r="I45" s="49" t="s">
        <v>59</v>
      </c>
      <c r="J45" s="11"/>
      <c r="K45" s="144"/>
      <c r="L45" s="79"/>
      <c r="M45" s="144"/>
      <c r="N45" s="79"/>
      <c r="O45" s="78"/>
      <c r="P45" s="160">
        <f>5500+700</f>
        <v>6200</v>
      </c>
      <c r="Q45" s="78"/>
      <c r="R45" s="112"/>
      <c r="S45" s="78"/>
      <c r="T45" s="112">
        <f>430+1580+1185+7090+2400</f>
        <v>12685</v>
      </c>
      <c r="U45" s="78">
        <v>10000</v>
      </c>
      <c r="V45" s="112"/>
      <c r="W45" s="78"/>
      <c r="X45" s="112"/>
    </row>
    <row r="46" spans="7:24" x14ac:dyDescent="0.25">
      <c r="G46" s="27"/>
      <c r="H46" s="8"/>
      <c r="I46" s="32" t="s">
        <v>47</v>
      </c>
      <c r="J46" s="18"/>
      <c r="K46" s="145"/>
      <c r="L46" s="77">
        <f>4419+2124+200</f>
        <v>6743</v>
      </c>
      <c r="M46" s="145"/>
      <c r="N46" s="77">
        <v>752</v>
      </c>
      <c r="O46" s="76">
        <v>4000</v>
      </c>
      <c r="P46" s="73">
        <f>258+258+690+258+1750+199+150+52+288+440+950+150+84+2100</f>
        <v>7627</v>
      </c>
      <c r="Q46" s="76">
        <v>5000</v>
      </c>
      <c r="R46" s="91">
        <f>98+300+200+300+250+50+150+240+370+150+150+175</f>
        <v>2433</v>
      </c>
      <c r="S46" s="76">
        <v>5000</v>
      </c>
      <c r="T46" s="91">
        <f>250+380+230+2398+270+270+325+9+50+300+340+128+65+375+40+30+25+25+9+100+1000+1800+2+176+50</f>
        <v>8647</v>
      </c>
      <c r="U46" s="76">
        <v>10000</v>
      </c>
      <c r="V46" s="91">
        <f>380+350+450+85+225+185+620+225+300+200+790+410+565+64+6000+490+58+262+244</f>
        <v>11903</v>
      </c>
      <c r="W46" s="76"/>
      <c r="X46" s="91"/>
    </row>
    <row r="47" spans="7:24" x14ac:dyDescent="0.25">
      <c r="G47" s="28"/>
      <c r="H47" s="22" t="s">
        <v>37</v>
      </c>
      <c r="I47" s="23"/>
      <c r="J47" s="23"/>
      <c r="K47" s="146"/>
      <c r="L47" s="82">
        <f t="shared" ref="L47" si="53">L4-L10</f>
        <v>340286</v>
      </c>
      <c r="M47" s="146"/>
      <c r="N47" s="82">
        <f t="shared" ref="N47:T47" si="54">N4-N10</f>
        <v>295764</v>
      </c>
      <c r="O47" s="81">
        <f t="shared" si="54"/>
        <v>340452</v>
      </c>
      <c r="P47" s="80">
        <f t="shared" si="54"/>
        <v>410103</v>
      </c>
      <c r="Q47" s="81">
        <f t="shared" si="54"/>
        <v>443690</v>
      </c>
      <c r="R47" s="95">
        <f t="shared" si="54"/>
        <v>340930</v>
      </c>
      <c r="S47" s="81">
        <f t="shared" si="54"/>
        <v>432040</v>
      </c>
      <c r="T47" s="95">
        <f t="shared" si="54"/>
        <v>453099</v>
      </c>
      <c r="U47" s="81">
        <f t="shared" ref="U47:V47" si="55">U4-U10</f>
        <v>279050</v>
      </c>
      <c r="V47" s="95">
        <f t="shared" si="55"/>
        <v>299420</v>
      </c>
      <c r="W47" s="81">
        <f t="shared" ref="W47:X47" si="56">W4-W10</f>
        <v>0</v>
      </c>
      <c r="X47" s="95">
        <f t="shared" si="56"/>
        <v>0</v>
      </c>
    </row>
    <row r="48" spans="7:24" x14ac:dyDescent="0.25">
      <c r="G48" s="25" t="s">
        <v>40</v>
      </c>
      <c r="H48" s="26"/>
      <c r="I48" s="26"/>
      <c r="J48" s="26"/>
      <c r="K48" s="54" t="s">
        <v>61</v>
      </c>
      <c r="L48" s="55" t="s">
        <v>62</v>
      </c>
      <c r="M48" s="54" t="s">
        <v>61</v>
      </c>
      <c r="N48" s="55" t="s">
        <v>62</v>
      </c>
      <c r="O48" s="54" t="s">
        <v>61</v>
      </c>
      <c r="P48" s="161" t="s">
        <v>62</v>
      </c>
      <c r="Q48" s="54" t="s">
        <v>61</v>
      </c>
      <c r="R48" s="55" t="s">
        <v>62</v>
      </c>
      <c r="S48" s="54" t="s">
        <v>61</v>
      </c>
      <c r="T48" s="55" t="s">
        <v>62</v>
      </c>
      <c r="U48" s="54" t="s">
        <v>61</v>
      </c>
      <c r="V48" s="55" t="s">
        <v>62</v>
      </c>
      <c r="W48" s="54" t="s">
        <v>61</v>
      </c>
      <c r="X48" s="55" t="s">
        <v>62</v>
      </c>
    </row>
    <row r="49" spans="7:24" x14ac:dyDescent="0.25">
      <c r="G49" s="27"/>
      <c r="H49" s="1" t="s">
        <v>35</v>
      </c>
      <c r="I49" s="2"/>
      <c r="J49" s="2"/>
      <c r="K49" s="147"/>
      <c r="L49" s="58"/>
      <c r="M49" s="147"/>
      <c r="N49" s="58"/>
      <c r="O49" s="56"/>
      <c r="P49" s="2"/>
      <c r="Q49" s="56"/>
      <c r="R49" s="57"/>
      <c r="S49" s="56"/>
      <c r="T49" s="57"/>
      <c r="U49" s="56"/>
      <c r="V49" s="57"/>
      <c r="W49" s="56"/>
      <c r="X49" s="57"/>
    </row>
    <row r="50" spans="7:24" x14ac:dyDescent="0.25">
      <c r="G50" s="27"/>
      <c r="H50" s="5" t="s">
        <v>36</v>
      </c>
      <c r="I50" s="6"/>
      <c r="J50" s="6"/>
      <c r="K50" s="70"/>
      <c r="L50" s="71">
        <f>SUM(N51)</f>
        <v>135300</v>
      </c>
      <c r="M50" s="70"/>
      <c r="N50" s="71">
        <f>SUM(P51)</f>
        <v>135300</v>
      </c>
      <c r="O50" s="88">
        <f t="shared" ref="O50:X50" si="57">SUM(O51)</f>
        <v>135300</v>
      </c>
      <c r="P50" s="69">
        <f t="shared" si="57"/>
        <v>135300</v>
      </c>
      <c r="Q50" s="88">
        <f t="shared" si="57"/>
        <v>135300</v>
      </c>
      <c r="R50" s="89">
        <f t="shared" si="57"/>
        <v>135300</v>
      </c>
      <c r="S50" s="88">
        <f t="shared" si="57"/>
        <v>135300</v>
      </c>
      <c r="T50" s="89">
        <f t="shared" si="57"/>
        <v>135300</v>
      </c>
      <c r="U50" s="88">
        <f t="shared" si="57"/>
        <v>135300</v>
      </c>
      <c r="V50" s="89">
        <f t="shared" si="57"/>
        <v>135300</v>
      </c>
      <c r="W50" s="88">
        <f t="shared" si="57"/>
        <v>0</v>
      </c>
      <c r="X50" s="89">
        <f t="shared" si="57"/>
        <v>0</v>
      </c>
    </row>
    <row r="51" spans="7:24" x14ac:dyDescent="0.25">
      <c r="G51" s="27"/>
      <c r="H51" s="7"/>
      <c r="I51" s="14" t="s">
        <v>26</v>
      </c>
      <c r="J51" s="15"/>
      <c r="K51" s="140"/>
      <c r="L51" s="75">
        <f>SUM(N52)</f>
        <v>135300</v>
      </c>
      <c r="M51" s="140"/>
      <c r="N51" s="75">
        <f>SUM(P52)</f>
        <v>135300</v>
      </c>
      <c r="O51" s="74">
        <f t="shared" ref="O51:X51" si="58">SUM(O52)</f>
        <v>135300</v>
      </c>
      <c r="P51" s="73">
        <f t="shared" si="58"/>
        <v>135300</v>
      </c>
      <c r="Q51" s="74">
        <f t="shared" si="58"/>
        <v>135300</v>
      </c>
      <c r="R51" s="91">
        <f t="shared" si="58"/>
        <v>135300</v>
      </c>
      <c r="S51" s="74">
        <f t="shared" si="58"/>
        <v>135300</v>
      </c>
      <c r="T51" s="91">
        <f t="shared" si="58"/>
        <v>135300</v>
      </c>
      <c r="U51" s="74">
        <f t="shared" si="58"/>
        <v>135300</v>
      </c>
      <c r="V51" s="91">
        <f t="shared" si="58"/>
        <v>135300</v>
      </c>
      <c r="W51" s="74">
        <f t="shared" si="58"/>
        <v>0</v>
      </c>
      <c r="X51" s="91">
        <f t="shared" si="58"/>
        <v>0</v>
      </c>
    </row>
    <row r="52" spans="7:24" x14ac:dyDescent="0.25">
      <c r="G52" s="27"/>
      <c r="H52" s="7"/>
      <c r="I52" s="8"/>
      <c r="J52" s="41" t="s">
        <v>42</v>
      </c>
      <c r="K52" s="143"/>
      <c r="L52" s="156">
        <f>45100+45100+45100</f>
        <v>135300</v>
      </c>
      <c r="M52" s="143"/>
      <c r="N52" s="156">
        <f>45100+45100+45100</f>
        <v>135300</v>
      </c>
      <c r="O52" s="93">
        <v>135300</v>
      </c>
      <c r="P52" s="106">
        <f>45100+45100+45100</f>
        <v>135300</v>
      </c>
      <c r="Q52" s="93">
        <v>135300</v>
      </c>
      <c r="R52" s="94">
        <v>135300</v>
      </c>
      <c r="S52" s="93">
        <v>135300</v>
      </c>
      <c r="T52" s="94">
        <f>45100+45100+45100</f>
        <v>135300</v>
      </c>
      <c r="U52" s="93">
        <v>135300</v>
      </c>
      <c r="V52" s="94">
        <f>45100+45100+45100</f>
        <v>135300</v>
      </c>
      <c r="W52" s="93"/>
      <c r="X52" s="94"/>
    </row>
    <row r="53" spans="7:24" x14ac:dyDescent="0.25">
      <c r="G53" s="28"/>
      <c r="H53" s="22" t="s">
        <v>37</v>
      </c>
      <c r="I53" s="23"/>
      <c r="J53" s="23"/>
      <c r="K53" s="146"/>
      <c r="L53" s="82">
        <f>N49-N50</f>
        <v>-135300</v>
      </c>
      <c r="M53" s="146"/>
      <c r="N53" s="82">
        <f>P49-P50</f>
        <v>-135300</v>
      </c>
      <c r="O53" s="81">
        <f t="shared" ref="O53:P53" si="59">O49-O50</f>
        <v>-135300</v>
      </c>
      <c r="P53" s="80">
        <f t="shared" si="59"/>
        <v>-135300</v>
      </c>
      <c r="Q53" s="81">
        <f t="shared" ref="Q53:R53" si="60">Q49-Q50</f>
        <v>-135300</v>
      </c>
      <c r="R53" s="95">
        <f t="shared" si="60"/>
        <v>-135300</v>
      </c>
      <c r="S53" s="81">
        <f t="shared" ref="S53:T53" si="61">S49-S50</f>
        <v>-135300</v>
      </c>
      <c r="T53" s="95">
        <f t="shared" si="61"/>
        <v>-135300</v>
      </c>
      <c r="U53" s="81">
        <f t="shared" ref="U53:V53" si="62">U49-U50</f>
        <v>-135300</v>
      </c>
      <c r="V53" s="95">
        <f t="shared" si="62"/>
        <v>-135300</v>
      </c>
      <c r="W53" s="81">
        <f t="shared" ref="W53:X53" si="63">W49-W50</f>
        <v>0</v>
      </c>
      <c r="X53" s="95">
        <f t="shared" si="63"/>
        <v>0</v>
      </c>
    </row>
    <row r="54" spans="7:24" x14ac:dyDescent="0.25">
      <c r="G54" s="29" t="s">
        <v>41</v>
      </c>
      <c r="H54" s="26"/>
      <c r="I54" s="26"/>
      <c r="J54" s="26"/>
      <c r="K54" s="54" t="s">
        <v>61</v>
      </c>
      <c r="L54" s="55" t="s">
        <v>62</v>
      </c>
      <c r="M54" s="54" t="s">
        <v>61</v>
      </c>
      <c r="N54" s="55" t="s">
        <v>62</v>
      </c>
      <c r="O54" s="54" t="s">
        <v>61</v>
      </c>
      <c r="P54" s="161" t="s">
        <v>62</v>
      </c>
      <c r="Q54" s="54" t="s">
        <v>61</v>
      </c>
      <c r="R54" s="55" t="s">
        <v>62</v>
      </c>
      <c r="S54" s="54" t="s">
        <v>61</v>
      </c>
      <c r="T54" s="55" t="s">
        <v>62</v>
      </c>
      <c r="U54" s="54" t="s">
        <v>61</v>
      </c>
      <c r="V54" s="55" t="s">
        <v>62</v>
      </c>
      <c r="W54" s="54" t="s">
        <v>61</v>
      </c>
      <c r="X54" s="55" t="s">
        <v>62</v>
      </c>
    </row>
    <row r="55" spans="7:24" x14ac:dyDescent="0.25">
      <c r="G55" s="27"/>
      <c r="H55" s="1" t="s">
        <v>35</v>
      </c>
      <c r="I55" s="2"/>
      <c r="J55" s="2"/>
      <c r="K55" s="147"/>
      <c r="L55" s="157">
        <f>SUM(L56,L57)</f>
        <v>0</v>
      </c>
      <c r="M55" s="147"/>
      <c r="N55" s="157">
        <f>SUM(N56,N57)</f>
        <v>7000</v>
      </c>
      <c r="O55" s="56">
        <f t="shared" ref="O55:Q55" si="64">SUM(O56)</f>
        <v>0</v>
      </c>
      <c r="P55" s="173">
        <f>SUM(P56,P57)</f>
        <v>0</v>
      </c>
      <c r="Q55" s="56">
        <f t="shared" si="64"/>
        <v>0</v>
      </c>
      <c r="R55" s="157">
        <f>SUM(R56,R57)</f>
        <v>0</v>
      </c>
      <c r="S55" s="157">
        <f>SUM(S56,S57)</f>
        <v>730721</v>
      </c>
      <c r="T55" s="157">
        <f>SUM(T56,T57)</f>
        <v>681033</v>
      </c>
      <c r="U55" s="157">
        <f>SUM(U56,U57)</f>
        <v>0</v>
      </c>
      <c r="V55" s="157">
        <f>SUM(V56,V57)</f>
        <v>0</v>
      </c>
      <c r="W55" s="157">
        <f>SUM(W56,W57)</f>
        <v>0</v>
      </c>
      <c r="X55" s="157">
        <f>SUM(X56,X57)</f>
        <v>0</v>
      </c>
    </row>
    <row r="56" spans="7:24" x14ac:dyDescent="0.25">
      <c r="G56" s="27"/>
      <c r="H56" s="3"/>
      <c r="I56" s="31" t="s">
        <v>44</v>
      </c>
      <c r="J56" s="17"/>
      <c r="K56" s="137"/>
      <c r="L56" s="158"/>
      <c r="M56" s="137"/>
      <c r="N56" s="158">
        <v>7000</v>
      </c>
      <c r="O56" s="65"/>
      <c r="P56" s="162"/>
      <c r="Q56" s="65"/>
      <c r="R56" s="66"/>
      <c r="S56" s="65">
        <f>50000</f>
        <v>50000</v>
      </c>
      <c r="T56" s="66"/>
      <c r="U56" s="65"/>
      <c r="V56" s="66"/>
      <c r="W56" s="65"/>
      <c r="X56" s="66"/>
    </row>
    <row r="57" spans="7:24" x14ac:dyDescent="0.25">
      <c r="G57" s="27"/>
      <c r="H57" s="3"/>
      <c r="I57" s="16" t="s">
        <v>45</v>
      </c>
      <c r="J57" s="17"/>
      <c r="K57" s="148"/>
      <c r="L57" s="68"/>
      <c r="M57" s="148"/>
      <c r="N57" s="68"/>
      <c r="O57" s="67"/>
      <c r="P57" s="163"/>
      <c r="Q57" s="67"/>
      <c r="R57" s="68"/>
      <c r="S57" s="67">
        <f>238821+227235+214665</f>
        <v>680721</v>
      </c>
      <c r="T57" s="68">
        <f>224620+217592+238821</f>
        <v>681033</v>
      </c>
      <c r="U57" s="67"/>
      <c r="V57" s="68"/>
      <c r="W57" s="67"/>
      <c r="X57" s="68"/>
    </row>
    <row r="58" spans="7:24" x14ac:dyDescent="0.25">
      <c r="G58" s="27"/>
      <c r="H58" s="5" t="s">
        <v>36</v>
      </c>
      <c r="I58" s="6"/>
      <c r="J58" s="6"/>
      <c r="K58" s="70"/>
      <c r="L58" s="71">
        <f>SUM(L59,L60,L61)</f>
        <v>200000</v>
      </c>
      <c r="M58" s="70"/>
      <c r="N58" s="71">
        <f>SUM(N59,N60,N61)</f>
        <v>212000</v>
      </c>
      <c r="O58" s="70">
        <f>SUM(O59,O60,O61)</f>
        <v>0</v>
      </c>
      <c r="P58" s="72">
        <f>SUM(P59,P60,P61)</f>
        <v>210100</v>
      </c>
      <c r="Q58" s="70">
        <f t="shared" ref="Q58:T58" si="65">SUM(Q59,Q60,Q61)</f>
        <v>200000</v>
      </c>
      <c r="R58" s="71">
        <f>SUM(R59,R60,R61)</f>
        <v>48800</v>
      </c>
      <c r="S58" s="70">
        <f t="shared" si="65"/>
        <v>1200000</v>
      </c>
      <c r="T58" s="71">
        <f t="shared" si="65"/>
        <v>1150000</v>
      </c>
      <c r="U58" s="70">
        <f>SUM(U59,U60,U61)</f>
        <v>200000</v>
      </c>
      <c r="V58" s="71">
        <f>SUM(V59,V60,V61)</f>
        <v>122000</v>
      </c>
      <c r="W58" s="70">
        <f t="shared" ref="W58:X58" si="66">SUM(W59,W60,W61)</f>
        <v>0</v>
      </c>
      <c r="X58" s="71">
        <f t="shared" si="66"/>
        <v>0</v>
      </c>
    </row>
    <row r="59" spans="7:24" x14ac:dyDescent="0.25">
      <c r="G59" s="27"/>
      <c r="H59" s="7"/>
      <c r="I59" s="30" t="s">
        <v>43</v>
      </c>
      <c r="J59" s="15"/>
      <c r="K59" s="140"/>
      <c r="L59" s="75"/>
      <c r="M59" s="140"/>
      <c r="N59" s="75">
        <v>12000</v>
      </c>
      <c r="O59" s="74"/>
      <c r="P59" s="164">
        <v>10000</v>
      </c>
      <c r="Q59" s="74"/>
      <c r="R59" s="75">
        <f>3000+11500+7000+12000+15000</f>
        <v>48500</v>
      </c>
      <c r="S59" s="74"/>
      <c r="T59" s="75">
        <f>20000+15000+60000+30000+20000+5000</f>
        <v>150000</v>
      </c>
      <c r="U59" s="74"/>
      <c r="V59" s="75">
        <v>122000</v>
      </c>
      <c r="W59" s="74"/>
      <c r="X59" s="75"/>
    </row>
    <row r="60" spans="7:24" x14ac:dyDescent="0.25">
      <c r="G60" s="27"/>
      <c r="H60" s="7"/>
      <c r="I60" s="30" t="s">
        <v>46</v>
      </c>
      <c r="J60" s="15"/>
      <c r="K60" s="140"/>
      <c r="L60" s="77">
        <v>200000</v>
      </c>
      <c r="M60" s="140"/>
      <c r="N60" s="77">
        <v>200000</v>
      </c>
      <c r="O60" s="76"/>
      <c r="P60" s="165">
        <v>200000</v>
      </c>
      <c r="Q60" s="76">
        <v>200000</v>
      </c>
      <c r="R60" s="77"/>
      <c r="S60" s="76">
        <v>1200000</v>
      </c>
      <c r="T60" s="77">
        <v>1000000</v>
      </c>
      <c r="U60" s="76">
        <v>200000</v>
      </c>
      <c r="V60" s="77"/>
      <c r="W60" s="76"/>
      <c r="X60" s="77"/>
    </row>
    <row r="61" spans="7:24" x14ac:dyDescent="0.25">
      <c r="G61" s="27"/>
      <c r="H61" s="7"/>
      <c r="I61" s="14" t="s">
        <v>60</v>
      </c>
      <c r="J61" s="15"/>
      <c r="K61" s="145"/>
      <c r="L61" s="77"/>
      <c r="M61" s="145"/>
      <c r="N61" s="77"/>
      <c r="O61" s="78"/>
      <c r="P61" s="166">
        <v>100</v>
      </c>
      <c r="Q61" s="78"/>
      <c r="R61" s="79">
        <v>300</v>
      </c>
      <c r="S61" s="78"/>
      <c r="T61" s="79"/>
      <c r="U61" s="78"/>
      <c r="V61" s="79"/>
      <c r="W61" s="78"/>
      <c r="X61" s="79"/>
    </row>
    <row r="62" spans="7:24" x14ac:dyDescent="0.25">
      <c r="G62" s="28"/>
      <c r="H62" s="22" t="s">
        <v>37</v>
      </c>
      <c r="I62" s="23"/>
      <c r="J62" s="23"/>
      <c r="K62" s="146"/>
      <c r="L62" s="82">
        <f>L55-L58</f>
        <v>-200000</v>
      </c>
      <c r="M62" s="146"/>
      <c r="N62" s="82">
        <f>N55-N58</f>
        <v>-205000</v>
      </c>
      <c r="O62" s="81">
        <f t="shared" ref="O62:T62" si="67">O55-O58</f>
        <v>0</v>
      </c>
      <c r="P62" s="167">
        <f t="shared" si="67"/>
        <v>-210100</v>
      </c>
      <c r="Q62" s="81">
        <f t="shared" si="67"/>
        <v>-200000</v>
      </c>
      <c r="R62" s="82">
        <f t="shared" si="67"/>
        <v>-48800</v>
      </c>
      <c r="S62" s="81">
        <f t="shared" si="67"/>
        <v>-469279</v>
      </c>
      <c r="T62" s="82">
        <f t="shared" si="67"/>
        <v>-468967</v>
      </c>
      <c r="U62" s="81">
        <f t="shared" ref="U62:V62" si="68">U55-U58</f>
        <v>-200000</v>
      </c>
      <c r="V62" s="82">
        <f t="shared" si="68"/>
        <v>-122000</v>
      </c>
      <c r="W62" s="81">
        <f t="shared" ref="W62:X62" si="69">W55-W58</f>
        <v>0</v>
      </c>
      <c r="X62" s="82">
        <f t="shared" si="69"/>
        <v>0</v>
      </c>
    </row>
    <row r="63" spans="7:24" x14ac:dyDescent="0.25">
      <c r="G63" s="36" t="s">
        <v>50</v>
      </c>
      <c r="H63" s="37"/>
      <c r="I63" s="37"/>
      <c r="J63" s="37"/>
      <c r="K63" s="149"/>
      <c r="L63" s="84"/>
      <c r="M63" s="149"/>
      <c r="N63" s="84"/>
      <c r="O63" s="83">
        <v>36</v>
      </c>
      <c r="P63" s="168">
        <v>30297</v>
      </c>
      <c r="Q63" s="83">
        <v>85000</v>
      </c>
      <c r="R63" s="84">
        <v>89600</v>
      </c>
      <c r="S63" s="83">
        <v>257530</v>
      </c>
      <c r="T63" s="84">
        <v>257530</v>
      </c>
      <c r="U63" s="83">
        <v>125562</v>
      </c>
      <c r="V63" s="84">
        <v>125562</v>
      </c>
      <c r="W63" s="83">
        <v>257530</v>
      </c>
      <c r="X63" s="84">
        <v>257530</v>
      </c>
    </row>
    <row r="64" spans="7:24" x14ac:dyDescent="0.25">
      <c r="G64" s="38" t="s">
        <v>51</v>
      </c>
      <c r="H64" s="24"/>
      <c r="I64" s="24"/>
      <c r="J64" s="24"/>
      <c r="K64" s="150"/>
      <c r="L64" s="86"/>
      <c r="M64" s="150"/>
      <c r="N64" s="86"/>
      <c r="O64" s="85">
        <f t="shared" ref="O64:T64" si="70">SUM(O47,O53,O62)</f>
        <v>205152</v>
      </c>
      <c r="P64" s="169">
        <f t="shared" si="70"/>
        <v>64703</v>
      </c>
      <c r="Q64" s="85">
        <f t="shared" si="70"/>
        <v>108390</v>
      </c>
      <c r="R64" s="86">
        <f t="shared" si="70"/>
        <v>156830</v>
      </c>
      <c r="S64" s="85">
        <f t="shared" si="70"/>
        <v>-172539</v>
      </c>
      <c r="T64" s="86">
        <f t="shared" si="70"/>
        <v>-151168</v>
      </c>
      <c r="U64" s="85">
        <f t="shared" ref="U64:V64" si="71">SUM(U47,U53,U62)</f>
        <v>-56250</v>
      </c>
      <c r="V64" s="86">
        <f t="shared" si="71"/>
        <v>42120</v>
      </c>
      <c r="W64" s="85">
        <f t="shared" ref="W64:X64" si="72">SUM(W47,W53,W62)</f>
        <v>0</v>
      </c>
      <c r="X64" s="86">
        <f t="shared" si="72"/>
        <v>0</v>
      </c>
    </row>
    <row r="65" spans="7:24" x14ac:dyDescent="0.25">
      <c r="G65" s="172" t="s">
        <v>102</v>
      </c>
      <c r="H65" s="24"/>
      <c r="I65" s="24"/>
      <c r="J65" s="24"/>
      <c r="K65" s="150"/>
      <c r="L65" s="86"/>
      <c r="M65" s="150"/>
      <c r="N65" s="86"/>
      <c r="O65" s="85"/>
      <c r="P65" s="169"/>
      <c r="Q65" s="85"/>
      <c r="R65" s="86">
        <v>11100</v>
      </c>
      <c r="S65" s="85"/>
      <c r="T65" s="86">
        <v>19200</v>
      </c>
      <c r="U65" s="85"/>
      <c r="V65" s="86">
        <v>-4000</v>
      </c>
      <c r="W65" s="85"/>
      <c r="X65" s="86"/>
    </row>
    <row r="66" spans="7:24" ht="15" thickBot="1" x14ac:dyDescent="0.3">
      <c r="G66" s="39" t="s">
        <v>52</v>
      </c>
      <c r="H66" s="40"/>
      <c r="I66" s="40"/>
      <c r="J66" s="40"/>
      <c r="K66" s="151"/>
      <c r="L66" s="87"/>
      <c r="M66" s="151"/>
      <c r="N66" s="87"/>
      <c r="O66" s="170">
        <f t="shared" ref="O66:Q66" si="73">SUM(O63:O65)</f>
        <v>205188</v>
      </c>
      <c r="P66" s="170">
        <f t="shared" si="73"/>
        <v>95000</v>
      </c>
      <c r="Q66" s="151">
        <f t="shared" si="73"/>
        <v>193390</v>
      </c>
      <c r="R66" s="87">
        <f>SUM(R63:R65)</f>
        <v>257530</v>
      </c>
      <c r="S66" s="151">
        <f t="shared" ref="S66:T66" si="74">SUM(S63:S65)</f>
        <v>84991</v>
      </c>
      <c r="T66" s="87">
        <f t="shared" si="74"/>
        <v>125562</v>
      </c>
      <c r="U66" s="151">
        <f t="shared" ref="U66:V66" si="75">SUM(U63:U65)</f>
        <v>69312</v>
      </c>
      <c r="V66" s="87">
        <f t="shared" si="75"/>
        <v>163682</v>
      </c>
      <c r="W66" s="151">
        <f t="shared" ref="W66:X66" si="76">SUM(W63:W65)</f>
        <v>257530</v>
      </c>
      <c r="X66" s="87">
        <f t="shared" si="76"/>
        <v>257530</v>
      </c>
    </row>
  </sheetData>
  <mergeCells count="13">
    <mergeCell ref="W2:X2"/>
    <mergeCell ref="T1:X1"/>
    <mergeCell ref="U2:V2"/>
    <mergeCell ref="S2:T2"/>
    <mergeCell ref="Q2:R2"/>
    <mergeCell ref="G1:G2"/>
    <mergeCell ref="H1:H2"/>
    <mergeCell ref="I1:I2"/>
    <mergeCell ref="J1:J2"/>
    <mergeCell ref="O2:P2"/>
    <mergeCell ref="M2:N2"/>
    <mergeCell ref="K2:L2"/>
    <mergeCell ref="L1:S1"/>
  </mergeCells>
  <pageMargins left="0.7" right="0.7" top="0.75" bottom="0.75" header="0.3" footer="0.3"/>
  <ignoredErrors>
    <ignoredError sqref="O15 O36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CA63-EF1D-49ED-BEE4-4702B85AA33B}">
  <sheetPr codeName="Лист2"/>
  <dimension ref="H1:M33"/>
  <sheetViews>
    <sheetView topLeftCell="F1" zoomScale="175" zoomScaleNormal="175" workbookViewId="0">
      <selection activeCell="Q15" sqref="Q15"/>
    </sheetView>
  </sheetViews>
  <sheetFormatPr defaultRowHeight="14.3" x14ac:dyDescent="0.25"/>
  <cols>
    <col min="10" max="11" width="6.42578125" customWidth="1"/>
    <col min="12" max="12" width="30.7109375" bestFit="1" customWidth="1"/>
    <col min="13" max="13" width="11.42578125" bestFit="1" customWidth="1"/>
  </cols>
  <sheetData>
    <row r="1" spans="10:13" x14ac:dyDescent="0.25">
      <c r="J1" s="190" t="s">
        <v>0</v>
      </c>
      <c r="K1" s="192" t="s">
        <v>1</v>
      </c>
      <c r="L1" s="194" t="s">
        <v>2</v>
      </c>
      <c r="M1" s="177">
        <v>2026</v>
      </c>
    </row>
    <row r="2" spans="10:13" x14ac:dyDescent="0.25">
      <c r="J2" s="191"/>
      <c r="K2" s="193"/>
      <c r="L2" s="195"/>
      <c r="M2" s="178" t="s">
        <v>103</v>
      </c>
    </row>
    <row r="3" spans="10:13" x14ac:dyDescent="0.25">
      <c r="J3" s="1" t="s">
        <v>54</v>
      </c>
      <c r="K3" s="2"/>
      <c r="L3" s="2"/>
      <c r="M3" s="42"/>
    </row>
    <row r="4" spans="10:13" x14ac:dyDescent="0.25">
      <c r="J4" s="3"/>
      <c r="K4" s="16" t="s">
        <v>15</v>
      </c>
      <c r="L4" s="17"/>
      <c r="M4" s="43"/>
    </row>
    <row r="5" spans="10:13" x14ac:dyDescent="0.25">
      <c r="J5" s="3"/>
      <c r="K5" s="4"/>
      <c r="L5" s="12" t="s">
        <v>42</v>
      </c>
      <c r="M5" s="44">
        <v>11110000</v>
      </c>
    </row>
    <row r="6" spans="10:13" x14ac:dyDescent="0.25">
      <c r="J6" s="3"/>
      <c r="K6" s="47" t="s">
        <v>57</v>
      </c>
      <c r="L6" s="17"/>
      <c r="M6" s="52"/>
    </row>
    <row r="7" spans="10:13" x14ac:dyDescent="0.25">
      <c r="J7" s="3"/>
      <c r="K7" s="3"/>
      <c r="L7" s="174" t="s">
        <v>107</v>
      </c>
      <c r="M7" s="45">
        <v>1000000</v>
      </c>
    </row>
    <row r="8" spans="10:13" x14ac:dyDescent="0.25">
      <c r="J8" s="3"/>
      <c r="K8" s="16" t="s">
        <v>63</v>
      </c>
      <c r="L8" s="17"/>
      <c r="M8" s="52"/>
    </row>
    <row r="9" spans="10:13" x14ac:dyDescent="0.25">
      <c r="J9" s="3"/>
      <c r="K9" s="3"/>
      <c r="L9" s="174" t="s">
        <v>105</v>
      </c>
      <c r="M9" s="45">
        <v>364</v>
      </c>
    </row>
    <row r="10" spans="10:13" x14ac:dyDescent="0.25">
      <c r="J10" s="3"/>
      <c r="K10" s="4"/>
      <c r="L10" s="176" t="s">
        <v>106</v>
      </c>
      <c r="M10" s="44">
        <v>107</v>
      </c>
    </row>
    <row r="11" spans="10:13" x14ac:dyDescent="0.25">
      <c r="J11" s="51"/>
      <c r="K11" s="127" t="s">
        <v>64</v>
      </c>
      <c r="L11" s="124"/>
      <c r="M11" s="125">
        <f>SUM(M12:M14)</f>
        <v>163381</v>
      </c>
    </row>
    <row r="12" spans="10:13" x14ac:dyDescent="0.25">
      <c r="J12" s="3"/>
      <c r="K12" s="1"/>
      <c r="L12" s="133" t="s">
        <v>96</v>
      </c>
      <c r="M12" s="132">
        <v>139841</v>
      </c>
    </row>
    <row r="13" spans="10:13" x14ac:dyDescent="0.25">
      <c r="J13" s="51"/>
      <c r="K13" s="126"/>
      <c r="L13" s="130" t="s">
        <v>95</v>
      </c>
      <c r="M13" s="99">
        <v>20088</v>
      </c>
    </row>
    <row r="14" spans="10:13" x14ac:dyDescent="0.25">
      <c r="J14" s="51"/>
      <c r="K14" s="53"/>
      <c r="L14" s="131" t="s">
        <v>97</v>
      </c>
      <c r="M14" s="129">
        <v>3452</v>
      </c>
    </row>
    <row r="15" spans="10:13" x14ac:dyDescent="0.25">
      <c r="J15" s="51"/>
      <c r="K15" s="134" t="s">
        <v>98</v>
      </c>
      <c r="L15" s="124"/>
      <c r="M15" s="128"/>
    </row>
    <row r="16" spans="10:13" x14ac:dyDescent="0.25">
      <c r="J16" s="51"/>
      <c r="K16" s="126"/>
      <c r="L16" s="130" t="s">
        <v>99</v>
      </c>
      <c r="M16" s="45">
        <f>222500+122000</f>
        <v>344500</v>
      </c>
    </row>
    <row r="17" spans="8:13" x14ac:dyDescent="0.25">
      <c r="J17" s="175"/>
      <c r="K17" s="126"/>
      <c r="L17" s="174" t="s">
        <v>104</v>
      </c>
      <c r="M17" s="45">
        <v>0</v>
      </c>
    </row>
    <row r="18" spans="8:13" x14ac:dyDescent="0.25">
      <c r="J18" s="5" t="s">
        <v>55</v>
      </c>
      <c r="K18" s="6"/>
      <c r="L18" s="6"/>
      <c r="M18" s="90"/>
    </row>
    <row r="19" spans="8:13" x14ac:dyDescent="0.25">
      <c r="J19" s="7"/>
      <c r="K19" s="14" t="s">
        <v>26</v>
      </c>
      <c r="L19" s="15"/>
      <c r="M19" s="63"/>
    </row>
    <row r="20" spans="8:13" x14ac:dyDescent="0.25">
      <c r="J20" s="8"/>
      <c r="K20" s="8"/>
      <c r="L20" s="10" t="s">
        <v>42</v>
      </c>
      <c r="M20" s="46">
        <v>8984520</v>
      </c>
    </row>
    <row r="22" spans="8:13" x14ac:dyDescent="0.25">
      <c r="I22" t="s">
        <v>67</v>
      </c>
    </row>
    <row r="23" spans="8:13" x14ac:dyDescent="0.25">
      <c r="H23" t="s">
        <v>69</v>
      </c>
    </row>
    <row r="24" spans="8:13" x14ac:dyDescent="0.25">
      <c r="H24" t="s">
        <v>68</v>
      </c>
    </row>
    <row r="25" spans="8:13" x14ac:dyDescent="0.25">
      <c r="H25" t="s">
        <v>70</v>
      </c>
    </row>
    <row r="26" spans="8:13" x14ac:dyDescent="0.25">
      <c r="H26" t="s">
        <v>89</v>
      </c>
    </row>
    <row r="27" spans="8:13" x14ac:dyDescent="0.25">
      <c r="H27" t="s">
        <v>90</v>
      </c>
    </row>
    <row r="28" spans="8:13" x14ac:dyDescent="0.25">
      <c r="H28" t="s">
        <v>91</v>
      </c>
    </row>
    <row r="30" spans="8:13" x14ac:dyDescent="0.25">
      <c r="I30" t="s">
        <v>88</v>
      </c>
    </row>
    <row r="31" spans="8:13" x14ac:dyDescent="0.25">
      <c r="H31" t="s">
        <v>92</v>
      </c>
    </row>
    <row r="32" spans="8:13" x14ac:dyDescent="0.25">
      <c r="H32" t="s">
        <v>93</v>
      </c>
    </row>
    <row r="33" spans="8:8" x14ac:dyDescent="0.25">
      <c r="H33" t="s">
        <v>94</v>
      </c>
    </row>
  </sheetData>
  <mergeCells count="3">
    <mergeCell ref="J1:J2"/>
    <mergeCell ref="K1:K2"/>
    <mergeCell ref="L1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5F62-F458-4784-AB03-169F8282E6E8}">
  <dimension ref="B2:I15"/>
  <sheetViews>
    <sheetView zoomScale="145" zoomScaleNormal="145" workbookViewId="0">
      <selection activeCell="S16" sqref="S16"/>
    </sheetView>
  </sheetViews>
  <sheetFormatPr defaultRowHeight="14.3" x14ac:dyDescent="0.25"/>
  <cols>
    <col min="3" max="4" width="10.7109375" bestFit="1" customWidth="1"/>
    <col min="5" max="5" width="10.7109375" customWidth="1"/>
    <col min="6" max="9" width="10.7109375" bestFit="1" customWidth="1"/>
  </cols>
  <sheetData>
    <row r="2" spans="2:9" x14ac:dyDescent="0.25">
      <c r="C2" s="114">
        <v>44480</v>
      </c>
      <c r="D2" s="114">
        <v>44662</v>
      </c>
      <c r="E2" s="114">
        <v>44925</v>
      </c>
      <c r="F2" s="114">
        <v>45170</v>
      </c>
      <c r="G2" s="114">
        <v>45533</v>
      </c>
      <c r="H2" s="114">
        <v>45839</v>
      </c>
    </row>
    <row r="3" spans="2:9" x14ac:dyDescent="0.25">
      <c r="B3" t="s">
        <v>72</v>
      </c>
      <c r="C3">
        <v>63280</v>
      </c>
      <c r="D3">
        <v>111500</v>
      </c>
      <c r="E3">
        <v>132700</v>
      </c>
      <c r="F3">
        <v>161000</v>
      </c>
      <c r="G3">
        <v>189700</v>
      </c>
      <c r="H3">
        <f>G3</f>
        <v>189700</v>
      </c>
    </row>
    <row r="4" spans="2:9" x14ac:dyDescent="0.25">
      <c r="B4" t="s">
        <v>75</v>
      </c>
      <c r="D4" s="116">
        <f>D3/C3*100</f>
        <v>176.20101137800253</v>
      </c>
      <c r="E4" s="116">
        <f t="shared" ref="E4:G4" si="0">E3/D3*100</f>
        <v>119.01345291479821</v>
      </c>
      <c r="F4" s="116">
        <f t="shared" si="0"/>
        <v>121.32629992464206</v>
      </c>
      <c r="G4" s="116">
        <f t="shared" si="0"/>
        <v>117.82608695652175</v>
      </c>
      <c r="H4" s="115">
        <f>D4/100*E4/100*F4/100*G4/100*100</f>
        <v>299.77876106194697</v>
      </c>
    </row>
    <row r="5" spans="2:9" x14ac:dyDescent="0.25">
      <c r="B5" t="s">
        <v>76</v>
      </c>
      <c r="D5" s="116"/>
      <c r="E5" s="116"/>
      <c r="F5" s="116"/>
      <c r="G5" s="116"/>
      <c r="H5" s="116">
        <f>H4/G8*100</f>
        <v>217.99556049862977</v>
      </c>
    </row>
    <row r="7" spans="2:9" x14ac:dyDescent="0.25">
      <c r="C7">
        <v>2022</v>
      </c>
      <c r="D7">
        <v>2023</v>
      </c>
      <c r="E7">
        <v>2024</v>
      </c>
      <c r="F7" t="s">
        <v>71</v>
      </c>
      <c r="G7" t="s">
        <v>74</v>
      </c>
    </row>
    <row r="8" spans="2:9" x14ac:dyDescent="0.25">
      <c r="B8" t="s">
        <v>73</v>
      </c>
      <c r="C8" s="116">
        <v>109.7</v>
      </c>
      <c r="D8" s="116">
        <v>111.8</v>
      </c>
      <c r="E8" s="116">
        <v>107.4</v>
      </c>
      <c r="F8" s="116">
        <v>104.4</v>
      </c>
      <c r="G8" s="116">
        <f>C8/100*D8/100*E8/100*F8/100*100</f>
        <v>137.51599361759997</v>
      </c>
    </row>
    <row r="10" spans="2:9" x14ac:dyDescent="0.25">
      <c r="B10" s="118"/>
      <c r="C10" s="118">
        <v>2021</v>
      </c>
      <c r="D10" s="118">
        <v>2022</v>
      </c>
      <c r="E10" s="118">
        <v>2023</v>
      </c>
      <c r="F10" s="118">
        <v>2024</v>
      </c>
      <c r="G10" s="118">
        <v>2025</v>
      </c>
      <c r="I10" s="118"/>
    </row>
    <row r="11" spans="2:9" x14ac:dyDescent="0.25">
      <c r="B11" s="118" t="s">
        <v>83</v>
      </c>
      <c r="C11" s="118">
        <v>63280</v>
      </c>
      <c r="D11" s="118">
        <v>132700</v>
      </c>
      <c r="E11" s="118">
        <v>161000</v>
      </c>
      <c r="F11" s="118">
        <v>189700</v>
      </c>
      <c r="G11" s="118">
        <v>189700</v>
      </c>
      <c r="I11" s="118"/>
    </row>
    <row r="12" spans="2:9" x14ac:dyDescent="0.25">
      <c r="B12" t="s">
        <v>84</v>
      </c>
      <c r="C12" s="115">
        <f>C11/C15</f>
        <v>0.63513711403852757</v>
      </c>
      <c r="D12" s="115">
        <f t="shared" ref="D12:G12" si="1">D11/D15</f>
        <v>0.99697309352186103</v>
      </c>
      <c r="E12" s="115">
        <f t="shared" si="1"/>
        <v>0.99327834355227551</v>
      </c>
      <c r="F12" s="115">
        <f t="shared" si="1"/>
        <v>0.96231235796761661</v>
      </c>
      <c r="G12" s="115">
        <f t="shared" si="1"/>
        <v>0.8121657201675091</v>
      </c>
    </row>
    <row r="14" spans="2:9" x14ac:dyDescent="0.25">
      <c r="C14" t="s">
        <v>77</v>
      </c>
      <c r="D14" t="s">
        <v>78</v>
      </c>
      <c r="E14" t="s">
        <v>79</v>
      </c>
      <c r="F14" t="s">
        <v>80</v>
      </c>
      <c r="G14" t="s">
        <v>81</v>
      </c>
    </row>
    <row r="15" spans="2:9" x14ac:dyDescent="0.25">
      <c r="B15" t="s">
        <v>82</v>
      </c>
      <c r="C15" s="117">
        <v>99632.03</v>
      </c>
      <c r="D15" s="117">
        <v>133102.89000000001</v>
      </c>
      <c r="E15" s="117">
        <v>162089.51</v>
      </c>
      <c r="F15" s="117">
        <v>197129.34</v>
      </c>
      <c r="G15" s="117">
        <v>233573.02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денежных средств</vt:lpstr>
      <vt:lpstr>Баланс</vt:lpstr>
      <vt:lpstr>Зарплата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2026-06-29T09:06:50Z</dcterms:modified>
</cp:coreProperties>
</file>