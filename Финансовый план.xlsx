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User\Documents\Личные финансы\"/>
    </mc:Choice>
  </mc:AlternateContent>
  <xr:revisionPtr revIDLastSave="0" documentId="13_ncr:1_{6F221855-B0CA-4239-8C94-97991005DCB0}" xr6:coauthVersionLast="46" xr6:coauthVersionMax="46" xr10:uidLastSave="{00000000-0000-0000-0000-000000000000}"/>
  <bookViews>
    <workbookView xWindow="-114" yWindow="-114" windowWidth="36727" windowHeight="20060" xr2:uid="{37FD5756-AF69-4080-8577-8AF04EAE00BB}"/>
  </bookViews>
  <sheets>
    <sheet name="Движение денежных средств" sheetId="1" r:id="rId1"/>
    <sheet name="Баланс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" i="1" l="1"/>
  <c r="U6" i="1"/>
  <c r="R12" i="1"/>
  <c r="R27" i="1"/>
  <c r="R18" i="1"/>
  <c r="R17" i="1"/>
  <c r="R14" i="1"/>
  <c r="Q27" i="1"/>
  <c r="S56" i="1"/>
  <c r="T56" i="1"/>
  <c r="U56" i="1"/>
  <c r="V56" i="1"/>
  <c r="Q56" i="1"/>
  <c r="V53" i="1"/>
  <c r="U53" i="1"/>
  <c r="V49" i="1"/>
  <c r="V48" i="1" s="1"/>
  <c r="V51" i="1" s="1"/>
  <c r="U49" i="1"/>
  <c r="U48" i="1" s="1"/>
  <c r="U51" i="1" s="1"/>
  <c r="V39" i="1"/>
  <c r="U39" i="1"/>
  <c r="V35" i="1"/>
  <c r="U35" i="1"/>
  <c r="V32" i="1"/>
  <c r="U32" i="1"/>
  <c r="V26" i="1"/>
  <c r="U26" i="1"/>
  <c r="V23" i="1"/>
  <c r="U23" i="1"/>
  <c r="V19" i="1"/>
  <c r="U19" i="1"/>
  <c r="V15" i="1"/>
  <c r="U15" i="1"/>
  <c r="V11" i="1"/>
  <c r="U11" i="1"/>
  <c r="V5" i="1"/>
  <c r="V4" i="1" s="1"/>
  <c r="U5" i="1"/>
  <c r="U4" i="1" s="1"/>
  <c r="T53" i="1"/>
  <c r="S53" i="1"/>
  <c r="T49" i="1"/>
  <c r="T48" i="1" s="1"/>
  <c r="T51" i="1" s="1"/>
  <c r="S49" i="1"/>
  <c r="S48" i="1"/>
  <c r="S51" i="1" s="1"/>
  <c r="T39" i="1"/>
  <c r="S39" i="1"/>
  <c r="T35" i="1"/>
  <c r="S35" i="1"/>
  <c r="S32" i="1"/>
  <c r="T32" i="1"/>
  <c r="S26" i="1"/>
  <c r="T26" i="1"/>
  <c r="T23" i="1"/>
  <c r="S23" i="1"/>
  <c r="T19" i="1"/>
  <c r="S19" i="1"/>
  <c r="T15" i="1"/>
  <c r="S15" i="1"/>
  <c r="S11" i="1"/>
  <c r="T11" i="1"/>
  <c r="T5" i="1"/>
  <c r="S5" i="1"/>
  <c r="S4" i="1" s="1"/>
  <c r="P6" i="1"/>
  <c r="P5" i="1" s="1"/>
  <c r="P4" i="1" s="1"/>
  <c r="R53" i="1"/>
  <c r="R43" i="1"/>
  <c r="R44" i="1"/>
  <c r="Q30" i="1"/>
  <c r="Q31" i="1"/>
  <c r="R35" i="1"/>
  <c r="R6" i="1"/>
  <c r="R9" i="1"/>
  <c r="R7" i="1"/>
  <c r="R24" i="1"/>
  <c r="R34" i="1"/>
  <c r="R25" i="1"/>
  <c r="R21" i="1"/>
  <c r="R40" i="1"/>
  <c r="R16" i="1"/>
  <c r="R20" i="1"/>
  <c r="R41" i="1"/>
  <c r="R50" i="1"/>
  <c r="R49" i="1" s="1"/>
  <c r="R48" i="1" s="1"/>
  <c r="R51" i="1" s="1"/>
  <c r="R31" i="1"/>
  <c r="R8" i="1"/>
  <c r="R30" i="1"/>
  <c r="R33" i="1"/>
  <c r="Q53" i="1"/>
  <c r="Q50" i="1"/>
  <c r="Q49" i="1" s="1"/>
  <c r="Q48" i="1" s="1"/>
  <c r="Q51" i="1" s="1"/>
  <c r="O21" i="1"/>
  <c r="M21" i="1"/>
  <c r="M19" i="1" s="1"/>
  <c r="L21" i="1"/>
  <c r="L19" i="1" s="1"/>
  <c r="K21" i="1"/>
  <c r="L49" i="1"/>
  <c r="L48" i="1" s="1"/>
  <c r="M49" i="1"/>
  <c r="M48" i="1" s="1"/>
  <c r="N49" i="1"/>
  <c r="N48" i="1" s="1"/>
  <c r="O49" i="1"/>
  <c r="O48" i="1" s="1"/>
  <c r="P49" i="1"/>
  <c r="P48" i="1" s="1"/>
  <c r="K49" i="1"/>
  <c r="K48" i="1" s="1"/>
  <c r="P53" i="1"/>
  <c r="O53" i="1"/>
  <c r="N53" i="1"/>
  <c r="M53" i="1"/>
  <c r="L53" i="1"/>
  <c r="K53" i="1"/>
  <c r="O7" i="1"/>
  <c r="L7" i="1"/>
  <c r="K7" i="1"/>
  <c r="O6" i="1"/>
  <c r="N6" i="1"/>
  <c r="N5" i="1" s="1"/>
  <c r="N4" i="1" s="1"/>
  <c r="M6" i="1"/>
  <c r="M5" i="1" s="1"/>
  <c r="M4" i="1" s="1"/>
  <c r="L6" i="1"/>
  <c r="K6" i="1"/>
  <c r="P44" i="1"/>
  <c r="O44" i="1"/>
  <c r="N44" i="1"/>
  <c r="M44" i="1"/>
  <c r="L44" i="1"/>
  <c r="K44" i="1"/>
  <c r="L42" i="1"/>
  <c r="K42" i="1"/>
  <c r="P40" i="1"/>
  <c r="P39" i="1" s="1"/>
  <c r="M40" i="1"/>
  <c r="M39" i="1" s="1"/>
  <c r="L40" i="1"/>
  <c r="L39" i="1" s="1"/>
  <c r="O39" i="1"/>
  <c r="N39" i="1"/>
  <c r="K39" i="1"/>
  <c r="P38" i="1"/>
  <c r="P35" i="1" s="1"/>
  <c r="M38" i="1"/>
  <c r="L37" i="1"/>
  <c r="O36" i="1"/>
  <c r="O35" i="1" s="1"/>
  <c r="M36" i="1"/>
  <c r="L36" i="1"/>
  <c r="K36" i="1"/>
  <c r="K35" i="1" s="1"/>
  <c r="N35" i="1"/>
  <c r="P34" i="1"/>
  <c r="P32" i="1" s="1"/>
  <c r="L34" i="1"/>
  <c r="L32" i="1" s="1"/>
  <c r="K33" i="1"/>
  <c r="K32" i="1" s="1"/>
  <c r="O32" i="1"/>
  <c r="N32" i="1"/>
  <c r="M32" i="1"/>
  <c r="K31" i="1"/>
  <c r="K30" i="1"/>
  <c r="P28" i="1"/>
  <c r="P26" i="1" s="1"/>
  <c r="K27" i="1"/>
  <c r="O26" i="1"/>
  <c r="N26" i="1"/>
  <c r="M26" i="1"/>
  <c r="L26" i="1"/>
  <c r="O25" i="1"/>
  <c r="N25" i="1"/>
  <c r="K25" i="1"/>
  <c r="P24" i="1"/>
  <c r="P23" i="1" s="1"/>
  <c r="O24" i="1"/>
  <c r="N24" i="1"/>
  <c r="M24" i="1"/>
  <c r="M23" i="1" s="1"/>
  <c r="L24" i="1"/>
  <c r="L23" i="1" s="1"/>
  <c r="K24" i="1"/>
  <c r="K20" i="1"/>
  <c r="Q20" i="1" s="1"/>
  <c r="Q19" i="1" s="1"/>
  <c r="P19" i="1"/>
  <c r="N19" i="1"/>
  <c r="P18" i="1"/>
  <c r="O18" i="1"/>
  <c r="N18" i="1"/>
  <c r="M18" i="1"/>
  <c r="L18" i="1"/>
  <c r="K18" i="1"/>
  <c r="P17" i="1"/>
  <c r="O17" i="1"/>
  <c r="N17" i="1"/>
  <c r="M17" i="1"/>
  <c r="L17" i="1"/>
  <c r="K17" i="1"/>
  <c r="P16" i="1"/>
  <c r="O16" i="1"/>
  <c r="N16" i="1"/>
  <c r="M16" i="1"/>
  <c r="L16" i="1"/>
  <c r="K16" i="1"/>
  <c r="P14" i="1"/>
  <c r="O14" i="1"/>
  <c r="N14" i="1"/>
  <c r="M14" i="1"/>
  <c r="L14" i="1"/>
  <c r="P13" i="1"/>
  <c r="O13" i="1"/>
  <c r="N13" i="1"/>
  <c r="M13" i="1"/>
  <c r="L13" i="1"/>
  <c r="K13" i="1"/>
  <c r="P12" i="1"/>
  <c r="O12" i="1"/>
  <c r="N12" i="1"/>
  <c r="M12" i="1"/>
  <c r="L12" i="1"/>
  <c r="K12" i="1"/>
  <c r="U60" i="1" l="1"/>
  <c r="S60" i="1"/>
  <c r="T60" i="1"/>
  <c r="V60" i="1"/>
  <c r="V10" i="1"/>
  <c r="V45" i="1" s="1"/>
  <c r="V62" i="1" s="1"/>
  <c r="V63" i="1" s="1"/>
  <c r="R56" i="1"/>
  <c r="R60" i="1" s="1"/>
  <c r="U10" i="1"/>
  <c r="U45" i="1" s="1"/>
  <c r="T4" i="1"/>
  <c r="T10" i="1"/>
  <c r="T45" i="1" s="1"/>
  <c r="S10" i="1"/>
  <c r="S45" i="1" s="1"/>
  <c r="R5" i="1"/>
  <c r="R4" i="1" s="1"/>
  <c r="Q16" i="1"/>
  <c r="R26" i="1"/>
  <c r="R32" i="1"/>
  <c r="R11" i="1"/>
  <c r="Q26" i="1"/>
  <c r="R19" i="1"/>
  <c r="Q12" i="1"/>
  <c r="R39" i="1"/>
  <c r="R15" i="1"/>
  <c r="R23" i="1"/>
  <c r="Q6" i="1"/>
  <c r="Q5" i="1" s="1"/>
  <c r="Q17" i="1"/>
  <c r="Q60" i="1"/>
  <c r="Q14" i="1"/>
  <c r="Q18" i="1"/>
  <c r="Q13" i="1"/>
  <c r="M56" i="1"/>
  <c r="M60" i="1" s="1"/>
  <c r="Q9" i="1"/>
  <c r="Q33" i="1"/>
  <c r="Q34" i="1"/>
  <c r="Q24" i="1"/>
  <c r="Q23" i="1" s="1"/>
  <c r="Q44" i="1"/>
  <c r="O56" i="1"/>
  <c r="O60" i="1" s="1"/>
  <c r="P56" i="1"/>
  <c r="Q40" i="1"/>
  <c r="Q39" i="1" s="1"/>
  <c r="Q36" i="1"/>
  <c r="Q35" i="1" s="1"/>
  <c r="L56" i="1"/>
  <c r="N56" i="1"/>
  <c r="N60" i="1" s="1"/>
  <c r="O19" i="1"/>
  <c r="K56" i="1"/>
  <c r="N51" i="1"/>
  <c r="N23" i="1"/>
  <c r="K11" i="1"/>
  <c r="K26" i="1"/>
  <c r="K19" i="1"/>
  <c r="L51" i="1"/>
  <c r="O23" i="1"/>
  <c r="N11" i="1"/>
  <c r="L35" i="1"/>
  <c r="P51" i="1"/>
  <c r="O51" i="1"/>
  <c r="K5" i="1"/>
  <c r="K4" i="1" s="1"/>
  <c r="L5" i="1"/>
  <c r="L4" i="1" s="1"/>
  <c r="M35" i="1"/>
  <c r="L11" i="1"/>
  <c r="M11" i="1"/>
  <c r="K23" i="1"/>
  <c r="N15" i="1"/>
  <c r="K15" i="1"/>
  <c r="M15" i="1"/>
  <c r="O5" i="1"/>
  <c r="O4" i="1" s="1"/>
  <c r="O15" i="1"/>
  <c r="L15" i="1"/>
  <c r="O11" i="1"/>
  <c r="P15" i="1"/>
  <c r="P11" i="1"/>
  <c r="S62" i="1" l="1"/>
  <c r="S63" i="1" s="1"/>
  <c r="U62" i="1"/>
  <c r="U63" i="1" s="1"/>
  <c r="R10" i="1"/>
  <c r="R45" i="1" s="1"/>
  <c r="R62" i="1" s="1"/>
  <c r="R63" i="1" s="1"/>
  <c r="T62" i="1"/>
  <c r="T63" i="1" s="1"/>
  <c r="Q11" i="1"/>
  <c r="Q15" i="1"/>
  <c r="N10" i="1"/>
  <c r="N45" i="1" s="1"/>
  <c r="Q4" i="1"/>
  <c r="O10" i="1"/>
  <c r="O45" i="1" s="1"/>
  <c r="Q32" i="1"/>
  <c r="P10" i="1"/>
  <c r="P45" i="1" s="1"/>
  <c r="M10" i="1"/>
  <c r="M45" i="1" s="1"/>
  <c r="L10" i="1"/>
  <c r="L45" i="1" s="1"/>
  <c r="K10" i="1"/>
  <c r="K45" i="1" s="1"/>
  <c r="P60" i="1"/>
  <c r="L60" i="1"/>
  <c r="K51" i="1"/>
  <c r="M51" i="1"/>
  <c r="K60" i="1"/>
  <c r="Q10" i="1" l="1"/>
  <c r="Q45" i="1" s="1"/>
  <c r="Q62" i="1" s="1"/>
  <c r="Q63" i="1" s="1"/>
  <c r="K62" i="1"/>
  <c r="K6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</author>
  </authors>
  <commentList>
    <comment ref="R6" authorId="0" shapeId="0" xr:uid="{EE30C085-3D4B-4558-A6C8-8DBB8F509C1B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+62к не понятно откуда</t>
        </r>
      </text>
    </comment>
    <comment ref="R8" authorId="0" shapeId="0" xr:uid="{50477EB7-DDB5-4C32-B0A9-76226531B39A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остаток за 2023 и проценты за 2024 год</t>
        </r>
      </text>
    </comment>
    <comment ref="R9" authorId="0" shapeId="0" xr:uid="{C278BFC6-DF93-472C-A40D-466323621CFC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день рождение, продажа книг на авито</t>
        </r>
      </text>
    </comment>
    <comment ref="R17" authorId="0" shapeId="0" xr:uid="{DEC318AC-9514-4B6A-820A-B5F816C73FD8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плюсом обеды с Ромой</t>
        </r>
      </text>
    </comment>
    <comment ref="R25" authorId="0" shapeId="0" xr:uid="{D0395E06-2DB7-4E3F-8BCD-3C6F855C8902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др мамы и племяника</t>
        </r>
      </text>
    </comment>
    <comment ref="R34" authorId="0" shapeId="0" xr:uid="{8490D096-1DD1-4102-BC38-7E9D4D2F6337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добавил мяч и бутсы</t>
        </r>
      </text>
    </comment>
    <comment ref="P54" authorId="0" shapeId="0" xr:uid="{10FEC305-260B-4BA0-AA97-E6FBEED063E1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Кристина</t>
        </r>
      </text>
    </comment>
    <comment ref="N57" authorId="0" shapeId="0" xr:uid="{C3904DA9-D648-4E21-AA95-8BF9B246EC67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Кристина</t>
        </r>
      </text>
    </comment>
    <comment ref="O57" authorId="0" shapeId="0" xr:uid="{5E22FE14-A469-4B6A-915D-9924A15B1E09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Кристина</t>
        </r>
      </text>
    </comment>
    <comment ref="R57" authorId="0" shapeId="0" xr:uid="{0DD3B8DF-9A0B-47F8-9D76-A60F657F6EB3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Кристина</t>
        </r>
      </text>
    </comment>
    <comment ref="M58" authorId="0" shapeId="0" xr:uid="{61CE3A71-48B2-4525-9185-E54A29D82433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Альфа от 25 февр</t>
        </r>
      </text>
    </comment>
    <comment ref="P58" authorId="0" shapeId="0" xr:uid="{D137F2C0-E059-43CA-8E1F-3A9653BD8D81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Альфа от 25 мая</t>
        </r>
      </text>
    </comment>
    <comment ref="R58" authorId="0" shapeId="0" xr:uid="{E16115FE-9D36-4C02-87CC-2204122CF8A2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ВТБ от 25 июля</t>
        </r>
      </text>
    </comment>
    <comment ref="S58" authorId="0" shapeId="0" xr:uid="{0F7DF148-9B81-4B21-8CEA-E00D78DA4EBF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в конце ноября на 3 месяца</t>
        </r>
      </text>
    </comment>
    <comment ref="R59" authorId="0" shapeId="0" xr:uid="{2BBB3CC4-019E-4063-95DE-684BC82ECFC9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Альфа Капитал от 27 июля</t>
        </r>
      </text>
    </comment>
    <comment ref="R61" authorId="0" shapeId="0" xr:uid="{4F2ADD7C-1D4F-47BC-A8F7-962BD156B82D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Непонятно откуда +30, добавлено для схождения</t>
        </r>
      </text>
    </comment>
    <comment ref="Q63" authorId="0" shapeId="0" xr:uid="{AAD3C3E6-92DC-42A6-92B9-87411301BAC7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+67к вычета нужно оформить, 
+ отпуск в дерене ничего не буду тратить, 
+ меньшее коммуналка за лето,
возможно накопить 200к
</t>
        </r>
      </text>
    </comment>
  </commentList>
</comments>
</file>

<file path=xl/sharedStrings.xml><?xml version="1.0" encoding="utf-8"?>
<sst xmlns="http://schemas.openxmlformats.org/spreadsheetml/2006/main" count="117" uniqueCount="87">
  <si>
    <t>Кат 1</t>
  </si>
  <si>
    <t>Кат 2</t>
  </si>
  <si>
    <t xml:space="preserve"> Наименование</t>
  </si>
  <si>
    <t>Зарплата</t>
  </si>
  <si>
    <t>Транспорт</t>
  </si>
  <si>
    <t>Метро</t>
  </si>
  <si>
    <t>Такси</t>
  </si>
  <si>
    <t>Подарки</t>
  </si>
  <si>
    <t>Продукты</t>
  </si>
  <si>
    <t>Питание</t>
  </si>
  <si>
    <t>Одежда и обувь</t>
  </si>
  <si>
    <t>Кафе</t>
  </si>
  <si>
    <t>Столовая</t>
  </si>
  <si>
    <t>Стрижка</t>
  </si>
  <si>
    <t xml:space="preserve">Аптека </t>
  </si>
  <si>
    <t>Коммуналка</t>
  </si>
  <si>
    <t>Квартира</t>
  </si>
  <si>
    <t>Филанторпия</t>
  </si>
  <si>
    <t>Диана</t>
  </si>
  <si>
    <t>Премия</t>
  </si>
  <si>
    <t>Уфанет</t>
  </si>
  <si>
    <t>Здоровье</t>
  </si>
  <si>
    <t>Стоматология</t>
  </si>
  <si>
    <t>Ржд</t>
  </si>
  <si>
    <t>Образование</t>
  </si>
  <si>
    <t>Книги</t>
  </si>
  <si>
    <t>Уход</t>
  </si>
  <si>
    <t>Ипотека</t>
  </si>
  <si>
    <t>Яндекс.Плюс</t>
  </si>
  <si>
    <t>Пакет</t>
  </si>
  <si>
    <t>Подписки</t>
  </si>
  <si>
    <t>Универ</t>
  </si>
  <si>
    <t>Работа</t>
  </si>
  <si>
    <t>янв</t>
  </si>
  <si>
    <t>фев</t>
  </si>
  <si>
    <t>март</t>
  </si>
  <si>
    <t>апр</t>
  </si>
  <si>
    <t>май</t>
  </si>
  <si>
    <t>дек</t>
  </si>
  <si>
    <t>Хозяйство</t>
  </si>
  <si>
    <t>Интим</t>
  </si>
  <si>
    <t>Электроника</t>
  </si>
  <si>
    <t>Поступления</t>
  </si>
  <si>
    <t>Платежи</t>
  </si>
  <si>
    <t>Сальдо</t>
  </si>
  <si>
    <t>Кат 3</t>
  </si>
  <si>
    <t>Операционная деятельность</t>
  </si>
  <si>
    <t>Финансовая деятельность</t>
  </si>
  <si>
    <t>Инвестиционная деятельность</t>
  </si>
  <si>
    <t xml:space="preserve">пр. Яраткан д.5 </t>
  </si>
  <si>
    <t>Выдача займа</t>
  </si>
  <si>
    <t>Возврат займа</t>
  </si>
  <si>
    <t>Возврат вклада</t>
  </si>
  <si>
    <t>Открытие вклада</t>
  </si>
  <si>
    <t>Прочие</t>
  </si>
  <si>
    <t>DDX</t>
  </si>
  <si>
    <t>T2</t>
  </si>
  <si>
    <t>Сальдо на начало</t>
  </si>
  <si>
    <t>Чистый денежный поток</t>
  </si>
  <si>
    <t>Сальдо на конец</t>
  </si>
  <si>
    <t>Страховка</t>
  </si>
  <si>
    <t>Активы</t>
  </si>
  <si>
    <t>Пассивы</t>
  </si>
  <si>
    <t>лето</t>
  </si>
  <si>
    <t>Вклад</t>
  </si>
  <si>
    <t>Налоговый вычет</t>
  </si>
  <si>
    <t>Развлечения</t>
  </si>
  <si>
    <t>Альфа от 25 февр</t>
  </si>
  <si>
    <t>Альфа от 25 мая</t>
  </si>
  <si>
    <t>ВТБ от 25 июля</t>
  </si>
  <si>
    <t>Открытие ИИС</t>
  </si>
  <si>
    <t>Альфа Капитал от 27 июля</t>
  </si>
  <si>
    <t>план</t>
  </si>
  <si>
    <t>факт</t>
  </si>
  <si>
    <t>ИИС</t>
  </si>
  <si>
    <t>сентябрь</t>
  </si>
  <si>
    <t>Счета</t>
  </si>
  <si>
    <t>Альфа накопительный</t>
  </si>
  <si>
    <t>осень</t>
  </si>
  <si>
    <t>зима</t>
  </si>
  <si>
    <t>План от 28 сентября 2025 года на 25 февраля 2026 года.</t>
  </si>
  <si>
    <t>Альфа от 25 мая 2025 до 25 февраля 2026. Сумма в конце 227 235</t>
  </si>
  <si>
    <t>Альфа от 25 февраля 2025 до 25 февраля 2026. Сумма в конце 238 821</t>
  </si>
  <si>
    <t>Предположение 200 000 на 3 месяца под 15% от 25 ноября до 25 января 2026. Сумма в конце 205 000.</t>
  </si>
  <si>
    <t>ВТБ от 25 июля 2025  до 25 января 2026. Сумма в конце 214 665. Месяц на накопительном под 11%. Сумма в конце 216 665</t>
  </si>
  <si>
    <t>Предположение сальдо на коцен зимы 400 000.</t>
  </si>
  <si>
    <t>Итоговая сумма на конце зимы 1 287 721. Риски не получения годовой премией 200 000.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</si>
</sst>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indexed="81"/>
      <name val="Tahoma"/>
      <family val="2"/>
      <charset val="204"/>
    </font>
    <font>
      <b/>
      <sz val="11"/>
      <color indexed="81"/>
      <name val="Tahoma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3">
    <xf numFmtId="0" fontId="0" fillId="0" borderId="0"/>
    <xf numFmtId="0" fontId="7" fillId="2" borderId="0" applyNumberFormat="0" applyBorder="0" applyAlignment="0" applyProtection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</cellStyleXfs>
  <cellXfs count="158">
    <xf numFmtId="0" fontId="0" fillId="0" borderId="0" xfId="0"/>
    <xf numFmtId="0" fontId="7" fillId="5" borderId="1" xfId="4" applyBorder="1"/>
    <xf numFmtId="0" fontId="7" fillId="5" borderId="2" xfId="4" applyBorder="1"/>
    <xf numFmtId="0" fontId="7" fillId="5" borderId="4" xfId="4" applyBorder="1"/>
    <xf numFmtId="0" fontId="7" fillId="5" borderId="5" xfId="4" applyBorder="1"/>
    <xf numFmtId="0" fontId="7" fillId="2" borderId="1" xfId="1" applyBorder="1"/>
    <xf numFmtId="0" fontId="7" fillId="2" borderId="2" xfId="1" applyBorder="1"/>
    <xf numFmtId="0" fontId="7" fillId="2" borderId="4" xfId="1" applyBorder="1"/>
    <xf numFmtId="0" fontId="7" fillId="2" borderId="5" xfId="1" applyBorder="1"/>
    <xf numFmtId="0" fontId="7" fillId="3" borderId="0" xfId="2" applyBorder="1"/>
    <xf numFmtId="0" fontId="7" fillId="3" borderId="6" xfId="2" applyBorder="1"/>
    <xf numFmtId="0" fontId="7" fillId="4" borderId="0" xfId="3" applyBorder="1"/>
    <xf numFmtId="0" fontId="7" fillId="6" borderId="6" xfId="5" applyBorder="1"/>
    <xf numFmtId="0" fontId="7" fillId="6" borderId="0" xfId="5" applyBorder="1"/>
    <xf numFmtId="0" fontId="7" fillId="4" borderId="1" xfId="3" applyBorder="1"/>
    <xf numFmtId="0" fontId="7" fillId="4" borderId="2" xfId="3" applyBorder="1"/>
    <xf numFmtId="0" fontId="7" fillId="7" borderId="1" xfId="6" applyBorder="1"/>
    <xf numFmtId="0" fontId="7" fillId="7" borderId="2" xfId="6" applyBorder="1"/>
    <xf numFmtId="0" fontId="7" fillId="4" borderId="9" xfId="3" applyBorder="1"/>
    <xf numFmtId="0" fontId="6" fillId="3" borderId="0" xfId="2" applyFont="1" applyBorder="1"/>
    <xf numFmtId="0" fontId="6" fillId="3" borderId="6" xfId="2" applyFont="1" applyBorder="1"/>
    <xf numFmtId="0" fontId="7" fillId="4" borderId="4" xfId="3" applyBorder="1"/>
    <xf numFmtId="0" fontId="6" fillId="12" borderId="8" xfId="11" applyBorder="1"/>
    <xf numFmtId="0" fontId="6" fillId="12" borderId="9" xfId="11" applyBorder="1"/>
    <xf numFmtId="0" fontId="6" fillId="13" borderId="0" xfId="12" applyBorder="1"/>
    <xf numFmtId="0" fontId="6" fillId="11" borderId="1" xfId="10" applyBorder="1"/>
    <xf numFmtId="0" fontId="6" fillId="11" borderId="2" xfId="10" applyBorder="1"/>
    <xf numFmtId="0" fontId="6" fillId="11" borderId="4" xfId="10" applyBorder="1"/>
    <xf numFmtId="0" fontId="6" fillId="11" borderId="5" xfId="10" applyBorder="1"/>
    <xf numFmtId="0" fontId="5" fillId="11" borderId="1" xfId="10" applyFont="1" applyBorder="1"/>
    <xf numFmtId="0" fontId="5" fillId="4" borderId="1" xfId="3" applyFont="1" applyBorder="1"/>
    <xf numFmtId="0" fontId="5" fillId="7" borderId="1" xfId="6" applyFont="1" applyBorder="1"/>
    <xf numFmtId="0" fontId="5" fillId="4" borderId="8" xfId="3" applyFont="1" applyBorder="1"/>
    <xf numFmtId="0" fontId="7" fillId="7" borderId="8" xfId="6" applyBorder="1"/>
    <xf numFmtId="0" fontId="7" fillId="7" borderId="9" xfId="6" applyBorder="1"/>
    <xf numFmtId="0" fontId="5" fillId="3" borderId="0" xfId="2" applyFont="1" applyBorder="1"/>
    <xf numFmtId="0" fontId="6" fillId="13" borderId="1" xfId="12" applyBorder="1"/>
    <xf numFmtId="0" fontId="6" fillId="13" borderId="2" xfId="12" applyBorder="1"/>
    <xf numFmtId="0" fontId="6" fillId="13" borderId="4" xfId="12" applyBorder="1"/>
    <xf numFmtId="0" fontId="6" fillId="13" borderId="5" xfId="12" applyBorder="1"/>
    <xf numFmtId="0" fontId="6" fillId="13" borderId="6" xfId="12" applyBorder="1"/>
    <xf numFmtId="0" fontId="5" fillId="3" borderId="6" xfId="2" applyFont="1" applyBorder="1"/>
    <xf numFmtId="0" fontId="6" fillId="9" borderId="2" xfId="8" applyBorder="1" applyAlignment="1">
      <alignment horizontal="center"/>
    </xf>
    <xf numFmtId="0" fontId="7" fillId="5" borderId="3" xfId="4" applyBorder="1"/>
    <xf numFmtId="0" fontId="7" fillId="7" borderId="3" xfId="6" applyBorder="1"/>
    <xf numFmtId="3" fontId="7" fillId="6" borderId="7" xfId="5" applyNumberFormat="1" applyBorder="1"/>
    <xf numFmtId="3" fontId="7" fillId="6" borderId="11" xfId="5" applyNumberFormat="1" applyBorder="1"/>
    <xf numFmtId="3" fontId="7" fillId="3" borderId="7" xfId="2" applyNumberFormat="1" applyBorder="1"/>
    <xf numFmtId="0" fontId="4" fillId="7" borderId="1" xfId="6" applyFont="1" applyBorder="1"/>
    <xf numFmtId="0" fontId="3" fillId="6" borderId="0" xfId="5" applyFont="1" applyBorder="1"/>
    <xf numFmtId="0" fontId="7" fillId="2" borderId="0" xfId="1" applyBorder="1"/>
    <xf numFmtId="0" fontId="3" fillId="4" borderId="4" xfId="3" applyFont="1" applyBorder="1"/>
    <xf numFmtId="0" fontId="7" fillId="4" borderId="8" xfId="3" applyBorder="1"/>
    <xf numFmtId="0" fontId="7" fillId="5" borderId="12" xfId="4" applyBorder="1"/>
    <xf numFmtId="0" fontId="3" fillId="6" borderId="6" xfId="5" applyFont="1" applyBorder="1"/>
    <xf numFmtId="3" fontId="7" fillId="7" borderId="3" xfId="6" applyNumberFormat="1" applyBorder="1"/>
    <xf numFmtId="0" fontId="3" fillId="10" borderId="6" xfId="9" applyFont="1" applyBorder="1" applyAlignment="1">
      <alignment horizontal="center"/>
    </xf>
    <xf numFmtId="0" fontId="7" fillId="5" borderId="6" xfId="4" applyBorder="1"/>
    <xf numFmtId="0" fontId="3" fillId="7" borderId="2" xfId="6" applyFont="1" applyBorder="1"/>
    <xf numFmtId="0" fontId="7" fillId="5" borderId="13" xfId="4" applyBorder="1"/>
    <xf numFmtId="0" fontId="3" fillId="11" borderId="14" xfId="10" applyFont="1" applyBorder="1" applyAlignment="1">
      <alignment horizontal="center"/>
    </xf>
    <xf numFmtId="0" fontId="3" fillId="11" borderId="16" xfId="10" applyFont="1" applyBorder="1" applyAlignment="1">
      <alignment horizontal="center"/>
    </xf>
    <xf numFmtId="0" fontId="7" fillId="5" borderId="18" xfId="4" applyBorder="1"/>
    <xf numFmtId="0" fontId="7" fillId="5" borderId="19" xfId="4" applyBorder="1"/>
    <xf numFmtId="0" fontId="7" fillId="5" borderId="24" xfId="4" applyBorder="1"/>
    <xf numFmtId="0" fontId="6" fillId="11" borderId="21" xfId="10" applyBorder="1" applyAlignment="1">
      <alignment horizontal="center"/>
    </xf>
    <xf numFmtId="0" fontId="6" fillId="11" borderId="22" xfId="10" applyBorder="1" applyAlignment="1">
      <alignment horizontal="center"/>
    </xf>
    <xf numFmtId="0" fontId="6" fillId="9" borderId="30" xfId="8" applyBorder="1" applyAlignment="1">
      <alignment horizontal="center"/>
    </xf>
    <xf numFmtId="0" fontId="6" fillId="9" borderId="31" xfId="8" applyBorder="1" applyAlignment="1">
      <alignment horizontal="center"/>
    </xf>
    <xf numFmtId="0" fontId="6" fillId="10" borderId="31" xfId="9" applyBorder="1" applyAlignment="1">
      <alignment horizontal="center"/>
    </xf>
    <xf numFmtId="0" fontId="6" fillId="10" borderId="8" xfId="9" applyBorder="1" applyAlignment="1">
      <alignment horizontal="center"/>
    </xf>
    <xf numFmtId="0" fontId="6" fillId="11" borderId="33" xfId="10" applyBorder="1" applyAlignment="1">
      <alignment horizontal="center"/>
    </xf>
    <xf numFmtId="0" fontId="3" fillId="11" borderId="9" xfId="10" applyFont="1" applyBorder="1" applyAlignment="1">
      <alignment horizontal="center"/>
    </xf>
    <xf numFmtId="0" fontId="2" fillId="10" borderId="28" xfId="9" applyFont="1" applyBorder="1" applyAlignment="1">
      <alignment horizontal="center"/>
    </xf>
    <xf numFmtId="0" fontId="6" fillId="10" borderId="15" xfId="9" applyBorder="1" applyAlignment="1">
      <alignment horizontal="center"/>
    </xf>
    <xf numFmtId="0" fontId="6" fillId="9" borderId="9" xfId="8" applyBorder="1" applyAlignment="1">
      <alignment horizontal="center"/>
    </xf>
    <xf numFmtId="0" fontId="6" fillId="9" borderId="2" xfId="8" applyBorder="1" applyAlignment="1">
      <alignment horizontal="center"/>
    </xf>
    <xf numFmtId="0" fontId="6" fillId="9" borderId="3" xfId="8" applyBorder="1" applyAlignment="1">
      <alignment horizontal="center"/>
    </xf>
    <xf numFmtId="0" fontId="6" fillId="10" borderId="32" xfId="9" applyBorder="1" applyAlignment="1">
      <alignment horizontal="center"/>
    </xf>
    <xf numFmtId="0" fontId="6" fillId="8" borderId="31" xfId="7" applyBorder="1" applyAlignment="1">
      <alignment horizontal="center"/>
    </xf>
    <xf numFmtId="0" fontId="6" fillId="9" borderId="31" xfId="8" applyBorder="1" applyAlignment="1">
      <alignment horizontal="center"/>
    </xf>
    <xf numFmtId="0" fontId="6" fillId="10" borderId="29" xfId="9" applyBorder="1" applyAlignment="1">
      <alignment horizontal="center"/>
    </xf>
    <xf numFmtId="0" fontId="6" fillId="10" borderId="35" xfId="9" applyBorder="1" applyAlignment="1">
      <alignment horizontal="center"/>
    </xf>
    <xf numFmtId="0" fontId="6" fillId="8" borderId="1" xfId="7" applyBorder="1" applyAlignment="1">
      <alignment horizontal="center"/>
    </xf>
    <xf numFmtId="0" fontId="6" fillId="8" borderId="5" xfId="7" applyBorder="1" applyAlignment="1">
      <alignment horizontal="center"/>
    </xf>
    <xf numFmtId="0" fontId="6" fillId="8" borderId="2" xfId="7" applyBorder="1" applyAlignment="1">
      <alignment horizontal="center"/>
    </xf>
    <xf numFmtId="0" fontId="6" fillId="8" borderId="6" xfId="7" applyBorder="1" applyAlignment="1">
      <alignment horizontal="center"/>
    </xf>
    <xf numFmtId="0" fontId="6" fillId="9" borderId="6" xfId="8" applyBorder="1" applyAlignment="1">
      <alignment horizontal="center"/>
    </xf>
    <xf numFmtId="0" fontId="1" fillId="3" borderId="0" xfId="2" applyFont="1" applyBorder="1"/>
    <xf numFmtId="3" fontId="7" fillId="2" borderId="11" xfId="1" applyNumberFormat="1" applyBorder="1"/>
    <xf numFmtId="3" fontId="7" fillId="4" borderId="3" xfId="3" applyNumberFormat="1" applyBorder="1"/>
    <xf numFmtId="3" fontId="6" fillId="7" borderId="2" xfId="6" applyNumberFormat="1" applyFont="1" applyBorder="1"/>
    <xf numFmtId="3" fontId="6" fillId="7" borderId="18" xfId="6" applyNumberFormat="1" applyFont="1" applyBorder="1"/>
    <xf numFmtId="3" fontId="6" fillId="7" borderId="24" xfId="6" applyNumberFormat="1" applyFont="1" applyBorder="1"/>
    <xf numFmtId="3" fontId="6" fillId="7" borderId="3" xfId="6" applyNumberFormat="1" applyFont="1" applyBorder="1"/>
    <xf numFmtId="3" fontId="7" fillId="7" borderId="2" xfId="6" applyNumberFormat="1" applyBorder="1"/>
    <xf numFmtId="3" fontId="7" fillId="7" borderId="18" xfId="6" applyNumberFormat="1" applyBorder="1"/>
    <xf numFmtId="3" fontId="7" fillId="7" borderId="24" xfId="6" applyNumberFormat="1" applyBorder="1"/>
    <xf numFmtId="3" fontId="7" fillId="2" borderId="2" xfId="1" applyNumberFormat="1" applyBorder="1"/>
    <xf numFmtId="3" fontId="7" fillId="2" borderId="36" xfId="1" applyNumberFormat="1" applyBorder="1"/>
    <xf numFmtId="3" fontId="7" fillId="2" borderId="24" xfId="1" applyNumberFormat="1" applyBorder="1"/>
    <xf numFmtId="3" fontId="7" fillId="2" borderId="1" xfId="1" applyNumberFormat="1" applyBorder="1"/>
    <xf numFmtId="3" fontId="7" fillId="4" borderId="2" xfId="3" applyNumberFormat="1" applyBorder="1"/>
    <xf numFmtId="3" fontId="7" fillId="4" borderId="18" xfId="3" applyNumberFormat="1" applyBorder="1"/>
    <xf numFmtId="3" fontId="7" fillId="4" borderId="24" xfId="3" applyNumberFormat="1" applyBorder="1"/>
    <xf numFmtId="3" fontId="7" fillId="4" borderId="21" xfId="3" applyNumberFormat="1" applyBorder="1"/>
    <xf numFmtId="3" fontId="7" fillId="4" borderId="16" xfId="3" applyNumberFormat="1" applyBorder="1"/>
    <xf numFmtId="3" fontId="7" fillId="4" borderId="33" xfId="3" applyNumberFormat="1" applyBorder="1"/>
    <xf numFmtId="3" fontId="7" fillId="4" borderId="17" xfId="3" applyNumberFormat="1" applyBorder="1"/>
    <xf numFmtId="3" fontId="7" fillId="4" borderId="25" xfId="3" applyNumberFormat="1" applyBorder="1"/>
    <xf numFmtId="3" fontId="7" fillId="4" borderId="11" xfId="3" applyNumberFormat="1" applyBorder="1"/>
    <xf numFmtId="3" fontId="6" fillId="12" borderId="9" xfId="11" applyNumberFormat="1" applyBorder="1"/>
    <xf numFmtId="3" fontId="6" fillId="12" borderId="21" xfId="11" applyNumberFormat="1" applyBorder="1"/>
    <xf numFmtId="3" fontId="6" fillId="12" borderId="16" xfId="11" applyNumberFormat="1" applyBorder="1"/>
    <xf numFmtId="3" fontId="6" fillId="12" borderId="33" xfId="11" applyNumberFormat="1" applyBorder="1"/>
    <xf numFmtId="3" fontId="6" fillId="13" borderId="2" xfId="12" applyNumberFormat="1" applyBorder="1"/>
    <xf numFmtId="3" fontId="6" fillId="13" borderId="18" xfId="12" applyNumberFormat="1" applyBorder="1"/>
    <xf numFmtId="3" fontId="6" fillId="13" borderId="24" xfId="12" applyNumberFormat="1" applyBorder="1"/>
    <xf numFmtId="3" fontId="6" fillId="13" borderId="3" xfId="12" applyNumberFormat="1" applyBorder="1"/>
    <xf numFmtId="3" fontId="6" fillId="13" borderId="0" xfId="12" applyNumberFormat="1" applyBorder="1"/>
    <xf numFmtId="3" fontId="6" fillId="13" borderId="17" xfId="12" applyNumberFormat="1" applyBorder="1"/>
    <xf numFmtId="3" fontId="6" fillId="13" borderId="25" xfId="12" applyNumberFormat="1" applyBorder="1"/>
    <xf numFmtId="3" fontId="6" fillId="13" borderId="11" xfId="12" applyNumberFormat="1" applyBorder="1"/>
    <xf numFmtId="3" fontId="6" fillId="13" borderId="6" xfId="12" applyNumberFormat="1" applyBorder="1"/>
    <xf numFmtId="3" fontId="6" fillId="13" borderId="26" xfId="12" applyNumberFormat="1" applyBorder="1"/>
    <xf numFmtId="3" fontId="6" fillId="13" borderId="27" xfId="12" applyNumberFormat="1" applyBorder="1"/>
    <xf numFmtId="3" fontId="6" fillId="13" borderId="34" xfId="12" applyNumberFormat="1" applyBorder="1"/>
    <xf numFmtId="3" fontId="7" fillId="2" borderId="18" xfId="1" applyNumberFormat="1" applyBorder="1"/>
    <xf numFmtId="3" fontId="7" fillId="2" borderId="19" xfId="1" applyNumberFormat="1" applyBorder="1"/>
    <xf numFmtId="3" fontId="7" fillId="2" borderId="3" xfId="1" applyNumberFormat="1" applyBorder="1"/>
    <xf numFmtId="3" fontId="7" fillId="4" borderId="19" xfId="3" applyNumberFormat="1" applyBorder="1"/>
    <xf numFmtId="3" fontId="7" fillId="3" borderId="6" xfId="2" applyNumberFormat="1" applyBorder="1"/>
    <xf numFmtId="3" fontId="7" fillId="3" borderId="23" xfId="2" applyNumberFormat="1" applyBorder="1"/>
    <xf numFmtId="3" fontId="7" fillId="3" borderId="10" xfId="2" applyNumberFormat="1" applyBorder="1"/>
    <xf numFmtId="3" fontId="6" fillId="12" borderId="22" xfId="11" applyNumberFormat="1" applyBorder="1"/>
    <xf numFmtId="3" fontId="7" fillId="5" borderId="2" xfId="4" applyNumberFormat="1" applyBorder="1"/>
    <xf numFmtId="3" fontId="7" fillId="5" borderId="17" xfId="4" applyNumberFormat="1" applyBorder="1"/>
    <xf numFmtId="3" fontId="7" fillId="5" borderId="10" xfId="4" applyNumberFormat="1" applyBorder="1"/>
    <xf numFmtId="3" fontId="7" fillId="5" borderId="11" xfId="4" applyNumberFormat="1" applyBorder="1"/>
    <xf numFmtId="3" fontId="6" fillId="7" borderId="19" xfId="6" applyNumberFormat="1" applyFont="1" applyBorder="1"/>
    <xf numFmtId="3" fontId="7" fillId="6" borderId="0" xfId="5" applyNumberFormat="1" applyBorder="1"/>
    <xf numFmtId="3" fontId="7" fillId="6" borderId="17" xfId="5" applyNumberFormat="1" applyBorder="1"/>
    <xf numFmtId="3" fontId="7" fillId="6" borderId="10" xfId="5" applyNumberFormat="1" applyBorder="1"/>
    <xf numFmtId="3" fontId="7" fillId="6" borderId="20" xfId="5" applyNumberFormat="1" applyBorder="1"/>
    <xf numFmtId="3" fontId="7" fillId="7" borderId="9" xfId="6" applyNumberFormat="1" applyBorder="1"/>
    <xf numFmtId="3" fontId="7" fillId="7" borderId="21" xfId="6" applyNumberFormat="1" applyBorder="1"/>
    <xf numFmtId="3" fontId="7" fillId="7" borderId="22" xfId="6" applyNumberFormat="1" applyBorder="1"/>
    <xf numFmtId="3" fontId="7" fillId="7" borderId="33" xfId="6" applyNumberFormat="1" applyBorder="1"/>
    <xf numFmtId="3" fontId="7" fillId="3" borderId="0" xfId="2" applyNumberFormat="1" applyBorder="1"/>
    <xf numFmtId="3" fontId="7" fillId="3" borderId="17" xfId="2" applyNumberFormat="1" applyBorder="1"/>
    <xf numFmtId="3" fontId="7" fillId="3" borderId="11" xfId="2" applyNumberFormat="1" applyBorder="1"/>
    <xf numFmtId="3" fontId="7" fillId="4" borderId="0" xfId="3" applyNumberFormat="1" applyBorder="1"/>
    <xf numFmtId="3" fontId="3" fillId="3" borderId="20" xfId="2" applyNumberFormat="1" applyFont="1" applyBorder="1"/>
    <xf numFmtId="3" fontId="6" fillId="3" borderId="6" xfId="2" applyNumberFormat="1" applyFont="1" applyBorder="1"/>
    <xf numFmtId="3" fontId="7" fillId="3" borderId="20" xfId="2" applyNumberFormat="1" applyBorder="1"/>
    <xf numFmtId="3" fontId="7" fillId="4" borderId="9" xfId="3" applyNumberFormat="1" applyBorder="1"/>
    <xf numFmtId="3" fontId="7" fillId="4" borderId="22" xfId="3" applyNumberFormat="1" applyBorder="1"/>
    <xf numFmtId="3" fontId="7" fillId="4" borderId="20" xfId="3" applyNumberFormat="1" applyBorder="1"/>
  </cellXfs>
  <cellStyles count="13">
    <cellStyle name="20% — акцент1" xfId="7" builtinId="30"/>
    <cellStyle name="20% — акцент2" xfId="1" builtinId="34"/>
    <cellStyle name="20% — акцент3" xfId="10" builtinId="38"/>
    <cellStyle name="20% — акцент4" xfId="11" builtinId="42"/>
    <cellStyle name="20% — акцент5" xfId="12" builtinId="46"/>
    <cellStyle name="20% — акцент6" xfId="4" builtinId="50"/>
    <cellStyle name="40% — акцент1" xfId="8" builtinId="31"/>
    <cellStyle name="40% — акцент2" xfId="2" builtinId="35"/>
    <cellStyle name="40% — акцент6" xfId="5" builtinId="51"/>
    <cellStyle name="60% — акцент1" xfId="9" builtinId="32"/>
    <cellStyle name="60% — акцент2" xfId="3" builtinId="36"/>
    <cellStyle name="60% — акцент6" xfId="6" builtinId="52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G1:V63"/>
  <sheetViews>
    <sheetView tabSelected="1" topLeftCell="D37" zoomScale="130" zoomScaleNormal="130" workbookViewId="0">
      <selection activeCell="Z61" sqref="Z61"/>
    </sheetView>
  </sheetViews>
  <sheetFormatPr defaultRowHeight="14.3" x14ac:dyDescent="0.25"/>
  <cols>
    <col min="3" max="3" width="18.42578125" customWidth="1"/>
    <col min="4" max="6" width="9.140625" customWidth="1"/>
    <col min="7" max="7" width="6.5703125" customWidth="1"/>
    <col min="8" max="8" width="6.42578125" customWidth="1"/>
    <col min="9" max="9" width="6.5703125" customWidth="1"/>
    <col min="10" max="10" width="17.140625" customWidth="1"/>
    <col min="15" max="15" width="8.5703125" customWidth="1"/>
  </cols>
  <sheetData>
    <row r="1" spans="7:22" ht="15" thickBot="1" x14ac:dyDescent="0.3">
      <c r="G1" s="79" t="s">
        <v>0</v>
      </c>
      <c r="H1" s="79" t="s">
        <v>1</v>
      </c>
      <c r="I1" s="79" t="s">
        <v>45</v>
      </c>
      <c r="J1" s="80" t="s">
        <v>2</v>
      </c>
      <c r="K1" s="68">
        <v>2024</v>
      </c>
      <c r="L1" s="75">
        <v>2025</v>
      </c>
      <c r="M1" s="75"/>
      <c r="N1" s="75"/>
      <c r="O1" s="75"/>
      <c r="P1" s="75"/>
      <c r="Q1" s="76"/>
      <c r="R1" s="76"/>
      <c r="S1" s="76"/>
      <c r="T1" s="76"/>
      <c r="U1" s="77"/>
      <c r="V1" s="67">
        <v>2026</v>
      </c>
    </row>
    <row r="2" spans="7:22" x14ac:dyDescent="0.25">
      <c r="G2" s="79"/>
      <c r="H2" s="79"/>
      <c r="I2" s="79"/>
      <c r="J2" s="80"/>
      <c r="K2" s="69" t="s">
        <v>38</v>
      </c>
      <c r="L2" s="69" t="s">
        <v>33</v>
      </c>
      <c r="M2" s="69" t="s">
        <v>34</v>
      </c>
      <c r="N2" s="69" t="s">
        <v>35</v>
      </c>
      <c r="O2" s="69" t="s">
        <v>36</v>
      </c>
      <c r="P2" s="70" t="s">
        <v>37</v>
      </c>
      <c r="Q2" s="81" t="s">
        <v>63</v>
      </c>
      <c r="R2" s="82"/>
      <c r="S2" s="78" t="s">
        <v>78</v>
      </c>
      <c r="T2" s="74"/>
      <c r="U2" s="73" t="s">
        <v>79</v>
      </c>
      <c r="V2" s="74"/>
    </row>
    <row r="3" spans="7:22" x14ac:dyDescent="0.25">
      <c r="G3" s="25" t="s">
        <v>46</v>
      </c>
      <c r="H3" s="26"/>
      <c r="I3" s="26"/>
      <c r="J3" s="26"/>
      <c r="K3" s="26"/>
      <c r="L3" s="26"/>
      <c r="M3" s="26"/>
      <c r="N3" s="26"/>
      <c r="O3" s="26"/>
      <c r="P3" s="26"/>
      <c r="Q3" s="60" t="s">
        <v>72</v>
      </c>
      <c r="R3" s="61" t="s">
        <v>73</v>
      </c>
      <c r="S3" s="71" t="s">
        <v>72</v>
      </c>
      <c r="T3" s="66" t="s">
        <v>73</v>
      </c>
      <c r="U3" s="65" t="s">
        <v>72</v>
      </c>
      <c r="V3" s="66" t="s">
        <v>73</v>
      </c>
    </row>
    <row r="4" spans="7:22" x14ac:dyDescent="0.25">
      <c r="G4" s="27"/>
      <c r="H4" s="1" t="s">
        <v>42</v>
      </c>
      <c r="I4" s="2"/>
      <c r="J4" s="2"/>
      <c r="K4" s="135">
        <f>SUM(K5,K9)</f>
        <v>366722</v>
      </c>
      <c r="L4" s="135">
        <f t="shared" ref="L4:R4" si="0">SUM(L5,L9)</f>
        <v>225711</v>
      </c>
      <c r="M4" s="135">
        <f t="shared" si="0"/>
        <v>83816</v>
      </c>
      <c r="N4" s="135">
        <f t="shared" si="0"/>
        <v>161109</v>
      </c>
      <c r="O4" s="135">
        <f t="shared" si="0"/>
        <v>183407</v>
      </c>
      <c r="P4" s="135">
        <f t="shared" si="0"/>
        <v>147042</v>
      </c>
      <c r="Q4" s="136">
        <f t="shared" si="0"/>
        <v>551726.5</v>
      </c>
      <c r="R4" s="137">
        <f t="shared" si="0"/>
        <v>651542</v>
      </c>
      <c r="S4" s="138">
        <f t="shared" ref="S4:T4" si="1">SUM(S5,S9)</f>
        <v>599500</v>
      </c>
      <c r="T4" s="137">
        <f t="shared" si="1"/>
        <v>0</v>
      </c>
      <c r="U4" s="136">
        <f t="shared" ref="U4:V4" si="2">SUM(U5,U9)</f>
        <v>566500</v>
      </c>
      <c r="V4" s="137">
        <f t="shared" si="2"/>
        <v>0</v>
      </c>
    </row>
    <row r="5" spans="7:22" x14ac:dyDescent="0.25">
      <c r="G5" s="27"/>
      <c r="H5" s="3"/>
      <c r="I5" s="16" t="s">
        <v>32</v>
      </c>
      <c r="J5" s="17"/>
      <c r="K5" s="91">
        <f t="shared" ref="K5:O5" si="3">SUM(K6:K7)</f>
        <v>366722</v>
      </c>
      <c r="L5" s="91">
        <f t="shared" si="3"/>
        <v>225064</v>
      </c>
      <c r="M5" s="91">
        <f t="shared" si="3"/>
        <v>83072</v>
      </c>
      <c r="N5" s="91">
        <f t="shared" si="3"/>
        <v>161109</v>
      </c>
      <c r="O5" s="91">
        <f t="shared" si="3"/>
        <v>182619</v>
      </c>
      <c r="P5" s="91">
        <f t="shared" ref="P5:V5" si="4">SUM(P6:P8)</f>
        <v>146701</v>
      </c>
      <c r="Q5" s="92">
        <f t="shared" si="4"/>
        <v>550327</v>
      </c>
      <c r="R5" s="139">
        <f t="shared" si="4"/>
        <v>629535</v>
      </c>
      <c r="S5" s="94">
        <f t="shared" si="4"/>
        <v>598000</v>
      </c>
      <c r="T5" s="139">
        <f t="shared" si="4"/>
        <v>0</v>
      </c>
      <c r="U5" s="92">
        <f t="shared" si="4"/>
        <v>565000</v>
      </c>
      <c r="V5" s="139">
        <f t="shared" si="4"/>
        <v>0</v>
      </c>
    </row>
    <row r="6" spans="7:22" x14ac:dyDescent="0.25">
      <c r="G6" s="27"/>
      <c r="H6" s="3"/>
      <c r="I6" s="3"/>
      <c r="J6" s="13" t="s">
        <v>3</v>
      </c>
      <c r="K6" s="140">
        <f>78590+74268</f>
        <v>152858</v>
      </c>
      <c r="L6" s="140">
        <f>86448+119200</f>
        <v>205648</v>
      </c>
      <c r="M6" s="140">
        <f>82519+553</f>
        <v>83072</v>
      </c>
      <c r="N6" s="140">
        <f>78589+82520</f>
        <v>161109</v>
      </c>
      <c r="O6" s="140">
        <f>45009+86449+41861</f>
        <v>173319</v>
      </c>
      <c r="P6" s="140">
        <f>64181+82520</f>
        <v>146701</v>
      </c>
      <c r="Q6" s="141">
        <f>N6*3</f>
        <v>483327</v>
      </c>
      <c r="R6" s="142">
        <f>143786+100857+64181+126009+50230+21527+39296</f>
        <v>545886</v>
      </c>
      <c r="S6" s="46">
        <f>593000</f>
        <v>593000</v>
      </c>
      <c r="T6" s="142"/>
      <c r="U6" s="141">
        <f>365000</f>
        <v>365000</v>
      </c>
      <c r="V6" s="142"/>
    </row>
    <row r="7" spans="7:22" x14ac:dyDescent="0.25">
      <c r="G7" s="27"/>
      <c r="H7" s="3"/>
      <c r="I7" s="3"/>
      <c r="J7" s="13" t="s">
        <v>19</v>
      </c>
      <c r="K7" s="140">
        <f>113363+83215+17286</f>
        <v>213864</v>
      </c>
      <c r="L7" s="140">
        <f>19416</f>
        <v>19416</v>
      </c>
      <c r="M7" s="140"/>
      <c r="N7" s="140"/>
      <c r="O7" s="140">
        <f>9300</f>
        <v>9300</v>
      </c>
      <c r="P7" s="140"/>
      <c r="Q7" s="141"/>
      <c r="R7" s="142">
        <f>16193</f>
        <v>16193</v>
      </c>
      <c r="S7" s="46">
        <v>5000</v>
      </c>
      <c r="T7" s="142"/>
      <c r="U7" s="141">
        <v>200000</v>
      </c>
      <c r="V7" s="142"/>
    </row>
    <row r="8" spans="7:22" x14ac:dyDescent="0.25">
      <c r="G8" s="27"/>
      <c r="H8" s="3"/>
      <c r="I8" s="3"/>
      <c r="J8" s="49" t="s">
        <v>65</v>
      </c>
      <c r="K8" s="140"/>
      <c r="L8" s="140"/>
      <c r="M8" s="140"/>
      <c r="N8" s="140"/>
      <c r="O8" s="140"/>
      <c r="P8" s="140"/>
      <c r="Q8" s="141">
        <v>67000</v>
      </c>
      <c r="R8" s="143">
        <f>18880+48576</f>
        <v>67456</v>
      </c>
      <c r="S8" s="46"/>
      <c r="T8" s="143"/>
      <c r="U8" s="141"/>
      <c r="V8" s="143"/>
    </row>
    <row r="9" spans="7:22" x14ac:dyDescent="0.25">
      <c r="G9" s="27"/>
      <c r="H9" s="4"/>
      <c r="I9" s="33" t="s">
        <v>54</v>
      </c>
      <c r="J9" s="34"/>
      <c r="K9" s="144"/>
      <c r="L9" s="144">
        <v>647</v>
      </c>
      <c r="M9" s="144">
        <v>744</v>
      </c>
      <c r="N9" s="144"/>
      <c r="O9" s="144">
        <v>788</v>
      </c>
      <c r="P9" s="144">
        <v>341</v>
      </c>
      <c r="Q9" s="145">
        <f>AVERAGE(K13:P13)*1</f>
        <v>1399.5</v>
      </c>
      <c r="R9" s="146">
        <f>302+13000+7719+395+521+70</f>
        <v>22007</v>
      </c>
      <c r="S9" s="147">
        <v>1500</v>
      </c>
      <c r="T9" s="146"/>
      <c r="U9" s="145">
        <v>1500</v>
      </c>
      <c r="V9" s="146"/>
    </row>
    <row r="10" spans="7:22" x14ac:dyDescent="0.25">
      <c r="G10" s="27"/>
      <c r="H10" s="5" t="s">
        <v>43</v>
      </c>
      <c r="I10" s="6"/>
      <c r="J10" s="6"/>
      <c r="K10" s="98">
        <f t="shared" ref="K10:Q10" si="5">SUM(K11,K15,K19,K23,K26,K32,K35,K39,K57,K42,K44)</f>
        <v>123548</v>
      </c>
      <c r="L10" s="98">
        <f t="shared" si="5"/>
        <v>118517</v>
      </c>
      <c r="M10" s="98">
        <f t="shared" si="5"/>
        <v>92720</v>
      </c>
      <c r="N10" s="98">
        <f t="shared" si="5"/>
        <v>86890</v>
      </c>
      <c r="O10" s="98">
        <f t="shared" si="5"/>
        <v>66227</v>
      </c>
      <c r="P10" s="98">
        <f t="shared" si="5"/>
        <v>65740</v>
      </c>
      <c r="Q10" s="127">
        <f t="shared" si="5"/>
        <v>220670.16666666666</v>
      </c>
      <c r="R10" s="128">
        <f>SUM(R11,R15,R19,R23,R26,R32,R35,R39,R57,R42,R43,R44)</f>
        <v>251439</v>
      </c>
      <c r="S10" s="129">
        <f>SUM(S11,S15,S19,S23,S26,S32,S35,S39,S57,S42,S44)</f>
        <v>155810</v>
      </c>
      <c r="T10" s="128">
        <f>SUM(T11,T15,T19,T23,T26,T32,T35,T39,T57,T42,T44)</f>
        <v>0</v>
      </c>
      <c r="U10" s="127">
        <f>SUM(U11,U15,U19,U23,U26,U32,U35,U39,U57,U42,U44)</f>
        <v>210410</v>
      </c>
      <c r="V10" s="128">
        <f>SUM(V11,V15,V19,V23,V26,V32,V35,V39,V57,V42,V44)</f>
        <v>0</v>
      </c>
    </row>
    <row r="11" spans="7:22" x14ac:dyDescent="0.25">
      <c r="G11" s="27"/>
      <c r="H11" s="7"/>
      <c r="I11" s="14" t="s">
        <v>4</v>
      </c>
      <c r="J11" s="15"/>
      <c r="K11" s="102">
        <f t="shared" ref="K11:R11" si="6">SUM(K12:K14)</f>
        <v>5401</v>
      </c>
      <c r="L11" s="102">
        <f t="shared" si="6"/>
        <v>2778</v>
      </c>
      <c r="M11" s="102">
        <f t="shared" si="6"/>
        <v>3885</v>
      </c>
      <c r="N11" s="102">
        <f t="shared" si="6"/>
        <v>5418</v>
      </c>
      <c r="O11" s="102">
        <f t="shared" si="6"/>
        <v>4433</v>
      </c>
      <c r="P11" s="102">
        <f t="shared" si="6"/>
        <v>5124</v>
      </c>
      <c r="Q11" s="103">
        <f t="shared" si="6"/>
        <v>14205</v>
      </c>
      <c r="R11" s="130">
        <f t="shared" si="6"/>
        <v>14557</v>
      </c>
      <c r="S11" s="90">
        <f t="shared" ref="S11:T11" si="7">SUM(S12:S14)</f>
        <v>14500</v>
      </c>
      <c r="T11" s="130">
        <f t="shared" si="7"/>
        <v>0</v>
      </c>
      <c r="U11" s="103">
        <f t="shared" ref="U11:V11" si="8">SUM(U12:U14)</f>
        <v>14500</v>
      </c>
      <c r="V11" s="130">
        <f t="shared" si="8"/>
        <v>0</v>
      </c>
    </row>
    <row r="12" spans="7:22" x14ac:dyDescent="0.25">
      <c r="G12" s="27"/>
      <c r="H12" s="7"/>
      <c r="I12" s="7"/>
      <c r="J12" s="9" t="s">
        <v>5</v>
      </c>
      <c r="K12" s="148">
        <f>1976+76+38+76+76+76+76</f>
        <v>2394</v>
      </c>
      <c r="L12" s="148">
        <f>988+38+76+76+76+86+86+76+38+76+76+76+38</f>
        <v>1806</v>
      </c>
      <c r="M12" s="148">
        <f>1794+76+76+38+76+76+38+38</f>
        <v>2212</v>
      </c>
      <c r="N12" s="148">
        <f>1763+86+86</f>
        <v>1935</v>
      </c>
      <c r="O12" s="148">
        <f>1161+86+86+86+86+86+86+86</f>
        <v>1763</v>
      </c>
      <c r="P12" s="148">
        <f>(86*5)+86+86+86+43+86+86+43+86+43+43+86+86+43+86+86+43+86+43</f>
        <v>1677</v>
      </c>
      <c r="Q12" s="149">
        <f>AVERAGE(K12:P12)*3</f>
        <v>5893.5</v>
      </c>
      <c r="R12" s="133">
        <f>1462+1376+1548+344+172+43</f>
        <v>4945</v>
      </c>
      <c r="S12" s="150">
        <v>5000</v>
      </c>
      <c r="T12" s="133"/>
      <c r="U12" s="149">
        <v>5000</v>
      </c>
      <c r="V12" s="133"/>
    </row>
    <row r="13" spans="7:22" x14ac:dyDescent="0.25">
      <c r="G13" s="27"/>
      <c r="H13" s="7"/>
      <c r="I13" s="7"/>
      <c r="J13" s="9" t="s">
        <v>6</v>
      </c>
      <c r="K13" s="148">
        <f>1324+291+349+239+460+344</f>
        <v>3007</v>
      </c>
      <c r="L13" s="148">
        <f>318+185</f>
        <v>503</v>
      </c>
      <c r="M13" s="148">
        <f>310</f>
        <v>310</v>
      </c>
      <c r="N13" s="148">
        <f>1662</f>
        <v>1662</v>
      </c>
      <c r="O13" s="148">
        <f>120+535+635</f>
        <v>1290</v>
      </c>
      <c r="P13" s="148">
        <f>311+505+373+436</f>
        <v>1625</v>
      </c>
      <c r="Q13" s="149">
        <f t="shared" ref="Q13:Q14" si="9">AVERAGE(K13:P13)*3</f>
        <v>4198.5</v>
      </c>
      <c r="R13" s="133">
        <v>4620</v>
      </c>
      <c r="S13" s="150">
        <v>4500</v>
      </c>
      <c r="T13" s="133"/>
      <c r="U13" s="149">
        <v>4500</v>
      </c>
      <c r="V13" s="133"/>
    </row>
    <row r="14" spans="7:22" x14ac:dyDescent="0.25">
      <c r="G14" s="27"/>
      <c r="H14" s="7"/>
      <c r="I14" s="8"/>
      <c r="J14" s="10" t="s">
        <v>23</v>
      </c>
      <c r="K14" s="131"/>
      <c r="L14" s="131">
        <f>469</f>
        <v>469</v>
      </c>
      <c r="M14" s="131">
        <f>442+479+442</f>
        <v>1363</v>
      </c>
      <c r="N14" s="131">
        <f>1821</f>
        <v>1821</v>
      </c>
      <c r="O14" s="131">
        <f>469+442+469</f>
        <v>1380</v>
      </c>
      <c r="P14" s="131">
        <f>442+469+442+469</f>
        <v>1822</v>
      </c>
      <c r="Q14" s="149">
        <f t="shared" si="9"/>
        <v>4113</v>
      </c>
      <c r="R14" s="133">
        <f>906+469+469+469+884+884+469+442</f>
        <v>4992</v>
      </c>
      <c r="S14" s="150">
        <v>5000</v>
      </c>
      <c r="T14" s="133"/>
      <c r="U14" s="149">
        <v>5000</v>
      </c>
      <c r="V14" s="133"/>
    </row>
    <row r="15" spans="7:22" x14ac:dyDescent="0.25">
      <c r="G15" s="27"/>
      <c r="H15" s="7"/>
      <c r="I15" s="14" t="s">
        <v>9</v>
      </c>
      <c r="J15" s="15"/>
      <c r="K15" s="102">
        <f t="shared" ref="K15:P15" si="10">SUM(K16:K18)</f>
        <v>34749</v>
      </c>
      <c r="L15" s="102">
        <f t="shared" si="10"/>
        <v>26569</v>
      </c>
      <c r="M15" s="102">
        <f t="shared" si="10"/>
        <v>26120</v>
      </c>
      <c r="N15" s="102">
        <f t="shared" si="10"/>
        <v>26313</v>
      </c>
      <c r="O15" s="102">
        <f t="shared" si="10"/>
        <v>24449</v>
      </c>
      <c r="P15" s="102">
        <f t="shared" si="10"/>
        <v>15492</v>
      </c>
      <c r="Q15" s="103">
        <f t="shared" ref="Q15:V15" si="11">SUM(Q16:Q18)</f>
        <v>76846</v>
      </c>
      <c r="R15" s="130">
        <f t="shared" si="11"/>
        <v>88695</v>
      </c>
      <c r="S15" s="90">
        <f t="shared" si="11"/>
        <v>83000</v>
      </c>
      <c r="T15" s="130">
        <f t="shared" si="11"/>
        <v>0</v>
      </c>
      <c r="U15" s="103">
        <f t="shared" si="11"/>
        <v>103000</v>
      </c>
      <c r="V15" s="130">
        <f t="shared" si="11"/>
        <v>0</v>
      </c>
    </row>
    <row r="16" spans="7:22" x14ac:dyDescent="0.25">
      <c r="G16" s="27"/>
      <c r="H16" s="7"/>
      <c r="I16" s="7"/>
      <c r="J16" s="9" t="s">
        <v>8</v>
      </c>
      <c r="K16" s="148">
        <f>11734+281+551+1307+83+213+1848+530+382+1574</f>
        <v>18503</v>
      </c>
      <c r="L16" s="148">
        <f>7075+441+1032+737+1223+963+378</f>
        <v>11849</v>
      </c>
      <c r="M16" s="148">
        <f>173+363+162+1400+62+262+875+2048+265+2055+260+993+1451</f>
        <v>10369</v>
      </c>
      <c r="N16" s="148">
        <f>8239+140+2125+230</f>
        <v>10734</v>
      </c>
      <c r="O16" s="148">
        <f>6173+480+97+2343+257+173+200+1284+52+200</f>
        <v>11259</v>
      </c>
      <c r="P16" s="148">
        <f>230+276+345+1360+900+126+491+286+540+55+60+650+78+200+720+220</f>
        <v>6537</v>
      </c>
      <c r="Q16" s="149">
        <f>AVERAGE(K16:P16)*3</f>
        <v>34625.5</v>
      </c>
      <c r="R16" s="133">
        <f>7305+160+408+334+600+2040+150+339+80+561+160+120+130+275+610+305+266+250+92+73+420+150+407+619+350+160+7510+100+440+346+80+1304+80+150+170+70+173+400+994+480+166+1176+387+140+1139+150+247</f>
        <v>32066</v>
      </c>
      <c r="S16" s="150">
        <v>35000</v>
      </c>
      <c r="T16" s="133"/>
      <c r="U16" s="149">
        <v>45000</v>
      </c>
      <c r="V16" s="133"/>
    </row>
    <row r="17" spans="7:22" x14ac:dyDescent="0.25">
      <c r="G17" s="27"/>
      <c r="H17" s="7"/>
      <c r="I17" s="7"/>
      <c r="J17" s="9" t="s">
        <v>11</v>
      </c>
      <c r="K17" s="148">
        <f>3396+135+1100+1400+224+800+1480+550+770+85+530</f>
        <v>10470</v>
      </c>
      <c r="L17" s="148">
        <f>452+455+571+1973+589+320+320+300+598+784+939+1035+875+454+1906+1831+728</f>
        <v>14130</v>
      </c>
      <c r="M17" s="148">
        <f>580+269+296+2250+100+1074+590+552+185+925+630+730+457+1009+1313+519</f>
        <v>11479</v>
      </c>
      <c r="N17" s="148">
        <f>7095+2300+950</f>
        <v>10345</v>
      </c>
      <c r="O17" s="148">
        <f>8101+968</f>
        <v>9069</v>
      </c>
      <c r="P17" s="148">
        <f>790+1740+209+480+113+2070</f>
        <v>5402</v>
      </c>
      <c r="Q17" s="149">
        <f t="shared" ref="Q17:Q24" si="12">AVERAGE(K17:P17)*3</f>
        <v>30447.5</v>
      </c>
      <c r="R17" s="133">
        <f>3245+838+654+1120+550+530+360+250+498+1044+400+1530+852+1147+2919+100+500+490+663+1772+640+480+200+807+350+250+11320+485+947+300+2400+800+950+1849+470+480+550+570+85+581+125+838+676+310+220+230+1049</f>
        <v>47424</v>
      </c>
      <c r="S17" s="150">
        <v>30000</v>
      </c>
      <c r="T17" s="133"/>
      <c r="U17" s="149">
        <v>40000</v>
      </c>
      <c r="V17" s="133"/>
    </row>
    <row r="18" spans="7:22" x14ac:dyDescent="0.25">
      <c r="G18" s="27"/>
      <c r="H18" s="7"/>
      <c r="I18" s="7"/>
      <c r="J18" s="88" t="s">
        <v>12</v>
      </c>
      <c r="K18" s="148">
        <f>2347+309+170+580+292+467+309+341+206+191+214+222+128</f>
        <v>5776</v>
      </c>
      <c r="L18" s="148">
        <f>221+369</f>
        <v>590</v>
      </c>
      <c r="M18" s="148">
        <f>331+314+241+190+38+211+205+307+345+391+190+235+313+350+205+235+171</f>
        <v>4272</v>
      </c>
      <c r="N18" s="148">
        <f>4621+283+330</f>
        <v>5234</v>
      </c>
      <c r="O18" s="148">
        <f>2641+43+216+225+140+299+245+312</f>
        <v>4121</v>
      </c>
      <c r="P18" s="148">
        <f>232+209+346+260+350+143+330+80+218+195+183+231+191+321+264</f>
        <v>3553</v>
      </c>
      <c r="Q18" s="149">
        <f t="shared" si="12"/>
        <v>11773</v>
      </c>
      <c r="R18" s="133">
        <f>908+100+475+147+176+118+226+295+182+438+212+304+191+376+250+192+294+1102+480+90+269+278+454+80+143+258+242+165+225+280+255</f>
        <v>9205</v>
      </c>
      <c r="S18" s="150">
        <v>18000</v>
      </c>
      <c r="T18" s="133"/>
      <c r="U18" s="149">
        <v>18000</v>
      </c>
      <c r="V18" s="133"/>
    </row>
    <row r="19" spans="7:22" x14ac:dyDescent="0.25">
      <c r="G19" s="27"/>
      <c r="H19" s="7"/>
      <c r="I19" s="14" t="s">
        <v>16</v>
      </c>
      <c r="J19" s="15"/>
      <c r="K19" s="102">
        <f t="shared" ref="K19:R19" si="13">SUM(K20:K22)</f>
        <v>16110</v>
      </c>
      <c r="L19" s="102">
        <f t="shared" si="13"/>
        <v>21864</v>
      </c>
      <c r="M19" s="102">
        <f t="shared" si="13"/>
        <v>6579</v>
      </c>
      <c r="N19" s="102">
        <f t="shared" si="13"/>
        <v>6987</v>
      </c>
      <c r="O19" s="102">
        <f t="shared" si="13"/>
        <v>7467</v>
      </c>
      <c r="P19" s="130">
        <f t="shared" si="13"/>
        <v>6304</v>
      </c>
      <c r="Q19" s="103">
        <f t="shared" si="13"/>
        <v>18785.5</v>
      </c>
      <c r="R19" s="130">
        <f t="shared" si="13"/>
        <v>19412</v>
      </c>
      <c r="S19" s="90">
        <f t="shared" ref="S19:T19" si="14">SUM(S20:S22)</f>
        <v>20500</v>
      </c>
      <c r="T19" s="130">
        <f t="shared" si="14"/>
        <v>0</v>
      </c>
      <c r="U19" s="103">
        <f t="shared" ref="U19:V19" si="15">SUM(U20:U22)</f>
        <v>38500</v>
      </c>
      <c r="V19" s="130">
        <f t="shared" si="15"/>
        <v>0</v>
      </c>
    </row>
    <row r="20" spans="7:22" x14ac:dyDescent="0.25">
      <c r="G20" s="27"/>
      <c r="H20" s="7"/>
      <c r="I20" s="7"/>
      <c r="J20" s="9" t="s">
        <v>15</v>
      </c>
      <c r="K20" s="148">
        <f>6034</f>
        <v>6034</v>
      </c>
      <c r="L20" s="148">
        <v>6424</v>
      </c>
      <c r="M20" s="148">
        <v>5654</v>
      </c>
      <c r="N20" s="148">
        <v>6987</v>
      </c>
      <c r="O20" s="148">
        <v>6168</v>
      </c>
      <c r="P20" s="148">
        <v>6304</v>
      </c>
      <c r="Q20" s="149">
        <f t="shared" si="12"/>
        <v>18785.5</v>
      </c>
      <c r="R20" s="133">
        <f>4456+4731+1329+4579</f>
        <v>15095</v>
      </c>
      <c r="S20" s="150">
        <v>16500</v>
      </c>
      <c r="T20" s="133"/>
      <c r="U20" s="149">
        <v>19500</v>
      </c>
      <c r="V20" s="133"/>
    </row>
    <row r="21" spans="7:22" x14ac:dyDescent="0.25">
      <c r="G21" s="27"/>
      <c r="H21" s="7"/>
      <c r="I21" s="7"/>
      <c r="J21" s="19" t="s">
        <v>39</v>
      </c>
      <c r="K21" s="148">
        <f>208+208+181+181+378+1386+896+972+1503+2582+1581</f>
        <v>10076</v>
      </c>
      <c r="L21" s="148">
        <f>976+976+557+557+184</f>
        <v>3250</v>
      </c>
      <c r="M21" s="148">
        <f>365+560</f>
        <v>925</v>
      </c>
      <c r="N21" s="148"/>
      <c r="O21" s="148">
        <f>719+386+194</f>
        <v>1299</v>
      </c>
      <c r="P21" s="148"/>
      <c r="Q21" s="149"/>
      <c r="R21" s="133">
        <f>1044+85+301+2641+246</f>
        <v>4317</v>
      </c>
      <c r="S21" s="150">
        <v>4000</v>
      </c>
      <c r="T21" s="133"/>
      <c r="U21" s="149">
        <v>4000</v>
      </c>
      <c r="V21" s="133"/>
    </row>
    <row r="22" spans="7:22" x14ac:dyDescent="0.25">
      <c r="G22" s="27"/>
      <c r="H22" s="7"/>
      <c r="I22" s="8"/>
      <c r="J22" s="41" t="s">
        <v>60</v>
      </c>
      <c r="K22" s="131"/>
      <c r="L22" s="131">
        <v>12190</v>
      </c>
      <c r="M22" s="131"/>
      <c r="N22" s="131"/>
      <c r="O22" s="131"/>
      <c r="P22" s="131"/>
      <c r="Q22" s="132"/>
      <c r="R22" s="133"/>
      <c r="S22" s="47"/>
      <c r="T22" s="133"/>
      <c r="U22" s="132">
        <v>15000</v>
      </c>
      <c r="V22" s="133"/>
    </row>
    <row r="23" spans="7:22" x14ac:dyDescent="0.25">
      <c r="G23" s="27"/>
      <c r="H23" s="7"/>
      <c r="I23" s="14" t="s">
        <v>17</v>
      </c>
      <c r="J23" s="15"/>
      <c r="K23" s="102">
        <f t="shared" ref="K23:R23" si="16">SUM(K24:K25)</f>
        <v>39857</v>
      </c>
      <c r="L23" s="102">
        <f t="shared" si="16"/>
        <v>28943</v>
      </c>
      <c r="M23" s="102">
        <f t="shared" si="16"/>
        <v>25770</v>
      </c>
      <c r="N23" s="102">
        <f t="shared" si="16"/>
        <v>40618</v>
      </c>
      <c r="O23" s="102">
        <f t="shared" si="16"/>
        <v>17889</v>
      </c>
      <c r="P23" s="102">
        <f t="shared" si="16"/>
        <v>28855</v>
      </c>
      <c r="Q23" s="103">
        <f t="shared" si="16"/>
        <v>68862.5</v>
      </c>
      <c r="R23" s="130">
        <f t="shared" si="16"/>
        <v>59401</v>
      </c>
      <c r="S23" s="90">
        <f t="shared" ref="S23:T23" si="17">SUM(S24:S25)</f>
        <v>10000</v>
      </c>
      <c r="T23" s="130">
        <f t="shared" si="17"/>
        <v>0</v>
      </c>
      <c r="U23" s="103">
        <f t="shared" ref="U23:V23" si="18">SUM(U24:U25)</f>
        <v>20000</v>
      </c>
      <c r="V23" s="130">
        <f t="shared" si="18"/>
        <v>0</v>
      </c>
    </row>
    <row r="24" spans="7:22" x14ac:dyDescent="0.25">
      <c r="G24" s="27"/>
      <c r="H24" s="7"/>
      <c r="I24" s="7"/>
      <c r="J24" s="9" t="s">
        <v>18</v>
      </c>
      <c r="K24" s="148">
        <f>10000+10000</f>
        <v>20000</v>
      </c>
      <c r="L24" s="148">
        <f>10000+10000+2500</f>
        <v>22500</v>
      </c>
      <c r="M24" s="148">
        <f>15000+10000+770</f>
        <v>25770</v>
      </c>
      <c r="N24" s="148">
        <f>2000+10000+10000</f>
        <v>22000</v>
      </c>
      <c r="O24" s="148">
        <f>5000+10000</f>
        <v>15000</v>
      </c>
      <c r="P24" s="148">
        <f>13255+2000+10000</f>
        <v>25255</v>
      </c>
      <c r="Q24" s="149">
        <f t="shared" si="12"/>
        <v>65262.5</v>
      </c>
      <c r="R24" s="133">
        <f>10000+10000+5000+1100+5000+10000</f>
        <v>41100</v>
      </c>
      <c r="S24" s="150"/>
      <c r="T24" s="133"/>
      <c r="U24" s="149"/>
      <c r="V24" s="133"/>
    </row>
    <row r="25" spans="7:22" x14ac:dyDescent="0.25">
      <c r="G25" s="27"/>
      <c r="H25" s="7"/>
      <c r="I25" s="8"/>
      <c r="J25" s="20" t="s">
        <v>7</v>
      </c>
      <c r="K25" s="131">
        <f>5508+9000+1731+3618</f>
        <v>19857</v>
      </c>
      <c r="L25" s="131">
        <v>6443</v>
      </c>
      <c r="M25" s="131"/>
      <c r="N25" s="131">
        <f>1000+218+1000+2900+13500</f>
        <v>18618</v>
      </c>
      <c r="O25" s="131">
        <f>1365+1524</f>
        <v>2889</v>
      </c>
      <c r="P25" s="131">
        <v>3600</v>
      </c>
      <c r="Q25" s="132">
        <v>3600</v>
      </c>
      <c r="R25" s="133">
        <f>6750+149+2000+9402</f>
        <v>18301</v>
      </c>
      <c r="S25" s="47">
        <v>10000</v>
      </c>
      <c r="T25" s="133"/>
      <c r="U25" s="132">
        <v>20000</v>
      </c>
      <c r="V25" s="133"/>
    </row>
    <row r="26" spans="7:22" x14ac:dyDescent="0.25">
      <c r="G26" s="27"/>
      <c r="H26" s="7"/>
      <c r="I26" s="21" t="s">
        <v>30</v>
      </c>
      <c r="J26" s="11"/>
      <c r="K26" s="151">
        <f t="shared" ref="K26:R26" si="19">SUM(K27:K31)</f>
        <v>2990</v>
      </c>
      <c r="L26" s="151">
        <f t="shared" si="19"/>
        <v>2990</v>
      </c>
      <c r="M26" s="151">
        <f t="shared" si="19"/>
        <v>1590</v>
      </c>
      <c r="N26" s="151">
        <f t="shared" si="19"/>
        <v>2990</v>
      </c>
      <c r="O26" s="151">
        <f t="shared" si="19"/>
        <v>990</v>
      </c>
      <c r="P26" s="151">
        <f t="shared" si="19"/>
        <v>6019</v>
      </c>
      <c r="Q26" s="108">
        <f t="shared" si="19"/>
        <v>4320</v>
      </c>
      <c r="R26" s="130">
        <f t="shared" si="19"/>
        <v>3780</v>
      </c>
      <c r="S26" s="110">
        <f t="shared" ref="S26:T26" si="20">SUM(S27:S31)</f>
        <v>2610</v>
      </c>
      <c r="T26" s="130">
        <f t="shared" si="20"/>
        <v>0</v>
      </c>
      <c r="U26" s="108">
        <f t="shared" ref="U26:V26" si="21">SUM(U27:U31)</f>
        <v>2610</v>
      </c>
      <c r="V26" s="130">
        <f t="shared" si="21"/>
        <v>0</v>
      </c>
    </row>
    <row r="27" spans="7:22" x14ac:dyDescent="0.25">
      <c r="G27" s="27"/>
      <c r="H27" s="7"/>
      <c r="I27" s="7"/>
      <c r="J27" s="35" t="s">
        <v>56</v>
      </c>
      <c r="K27" s="148">
        <f>450+450</f>
        <v>900</v>
      </c>
      <c r="L27" s="148">
        <v>900</v>
      </c>
      <c r="M27" s="148">
        <v>900</v>
      </c>
      <c r="N27" s="148">
        <v>900</v>
      </c>
      <c r="O27" s="148">
        <v>300</v>
      </c>
      <c r="P27" s="148">
        <v>450</v>
      </c>
      <c r="Q27" s="149">
        <f>450*3</f>
        <v>1350</v>
      </c>
      <c r="R27" s="133">
        <f>450+450+450</f>
        <v>1350</v>
      </c>
      <c r="S27" s="150">
        <v>1350</v>
      </c>
      <c r="T27" s="133"/>
      <c r="U27" s="149">
        <v>1350</v>
      </c>
      <c r="V27" s="133"/>
    </row>
    <row r="28" spans="7:22" x14ac:dyDescent="0.25">
      <c r="G28" s="27"/>
      <c r="H28" s="7"/>
      <c r="I28" s="7"/>
      <c r="J28" s="9" t="s">
        <v>28</v>
      </c>
      <c r="K28" s="148"/>
      <c r="L28" s="148"/>
      <c r="M28" s="148"/>
      <c r="N28" s="148"/>
      <c r="O28" s="148"/>
      <c r="P28" s="148">
        <f>3490+399</f>
        <v>3889</v>
      </c>
      <c r="Q28" s="149"/>
      <c r="R28" s="133"/>
      <c r="S28" s="150"/>
      <c r="T28" s="133"/>
      <c r="U28" s="149"/>
      <c r="V28" s="133"/>
    </row>
    <row r="29" spans="7:22" x14ac:dyDescent="0.25">
      <c r="G29" s="27"/>
      <c r="H29" s="7"/>
      <c r="I29" s="7"/>
      <c r="J29" s="9" t="s">
        <v>29</v>
      </c>
      <c r="K29" s="148"/>
      <c r="L29" s="148"/>
      <c r="M29" s="148"/>
      <c r="N29" s="148"/>
      <c r="O29" s="148"/>
      <c r="P29" s="148">
        <v>990</v>
      </c>
      <c r="Q29" s="149"/>
      <c r="R29" s="133"/>
      <c r="S29" s="150"/>
      <c r="T29" s="133"/>
      <c r="U29" s="149"/>
      <c r="V29" s="133"/>
    </row>
    <row r="30" spans="7:22" x14ac:dyDescent="0.25">
      <c r="G30" s="27"/>
      <c r="H30" s="7"/>
      <c r="I30" s="7"/>
      <c r="J30" s="35" t="s">
        <v>55</v>
      </c>
      <c r="K30" s="148">
        <f>1700</f>
        <v>1700</v>
      </c>
      <c r="L30" s="148">
        <v>1700</v>
      </c>
      <c r="M30" s="148">
        <v>300</v>
      </c>
      <c r="N30" s="148">
        <v>1700</v>
      </c>
      <c r="O30" s="148">
        <v>300</v>
      </c>
      <c r="P30" s="148">
        <v>300</v>
      </c>
      <c r="Q30" s="149">
        <f>600*3</f>
        <v>1800</v>
      </c>
      <c r="R30" s="133">
        <f>600+600</f>
        <v>1200</v>
      </c>
      <c r="S30" s="150"/>
      <c r="T30" s="133"/>
      <c r="U30" s="149"/>
      <c r="V30" s="133"/>
    </row>
    <row r="31" spans="7:22" x14ac:dyDescent="0.25">
      <c r="G31" s="27"/>
      <c r="H31" s="7"/>
      <c r="I31" s="8"/>
      <c r="J31" s="10" t="s">
        <v>20</v>
      </c>
      <c r="K31" s="131">
        <f>390</f>
        <v>390</v>
      </c>
      <c r="L31" s="131">
        <v>390</v>
      </c>
      <c r="M31" s="131">
        <v>390</v>
      </c>
      <c r="N31" s="131">
        <v>390</v>
      </c>
      <c r="O31" s="131">
        <v>390</v>
      </c>
      <c r="P31" s="131">
        <v>390</v>
      </c>
      <c r="Q31" s="132">
        <f>390*3</f>
        <v>1170</v>
      </c>
      <c r="R31" s="152">
        <f>390+420+420</f>
        <v>1230</v>
      </c>
      <c r="S31" s="47">
        <v>1260</v>
      </c>
      <c r="T31" s="152"/>
      <c r="U31" s="132">
        <v>1260</v>
      </c>
      <c r="V31" s="152"/>
    </row>
    <row r="32" spans="7:22" x14ac:dyDescent="0.25">
      <c r="G32" s="27"/>
      <c r="H32" s="7"/>
      <c r="I32" s="14" t="s">
        <v>26</v>
      </c>
      <c r="J32" s="15"/>
      <c r="K32" s="102">
        <f t="shared" ref="K32:R32" si="22">SUM(K33:K34)</f>
        <v>1600</v>
      </c>
      <c r="L32" s="102">
        <f t="shared" si="22"/>
        <v>1472</v>
      </c>
      <c r="M32" s="102">
        <f t="shared" si="22"/>
        <v>1600</v>
      </c>
      <c r="N32" s="102">
        <f t="shared" si="22"/>
        <v>0</v>
      </c>
      <c r="O32" s="102">
        <f t="shared" si="22"/>
        <v>1600</v>
      </c>
      <c r="P32" s="102">
        <f t="shared" si="22"/>
        <v>269</v>
      </c>
      <c r="Q32" s="103">
        <f t="shared" si="22"/>
        <v>5811.5</v>
      </c>
      <c r="R32" s="130">
        <f t="shared" si="22"/>
        <v>14413</v>
      </c>
      <c r="S32" s="90">
        <f t="shared" ref="S32:T32" si="23">SUM(S33:S34)</f>
        <v>18200</v>
      </c>
      <c r="T32" s="130">
        <f t="shared" si="23"/>
        <v>0</v>
      </c>
      <c r="U32" s="103">
        <f t="shared" ref="U32:V32" si="24">SUM(U33:U34)</f>
        <v>18200</v>
      </c>
      <c r="V32" s="130">
        <f t="shared" si="24"/>
        <v>0</v>
      </c>
    </row>
    <row r="33" spans="7:22" x14ac:dyDescent="0.25">
      <c r="G33" s="27"/>
      <c r="H33" s="7"/>
      <c r="I33" s="7"/>
      <c r="J33" s="9" t="s">
        <v>13</v>
      </c>
      <c r="K33" s="148">
        <f>1600</f>
        <v>1600</v>
      </c>
      <c r="L33" s="148"/>
      <c r="M33" s="148">
        <v>1600</v>
      </c>
      <c r="N33" s="148"/>
      <c r="O33" s="148">
        <v>1600</v>
      </c>
      <c r="P33" s="148"/>
      <c r="Q33" s="149">
        <f>AVERAGE(K33:P33)*2</f>
        <v>3200</v>
      </c>
      <c r="R33" s="133">
        <f>1600</f>
        <v>1600</v>
      </c>
      <c r="S33" s="150">
        <v>3200</v>
      </c>
      <c r="T33" s="133"/>
      <c r="U33" s="149">
        <v>3200</v>
      </c>
      <c r="V33" s="133"/>
    </row>
    <row r="34" spans="7:22" x14ac:dyDescent="0.25">
      <c r="G34" s="27"/>
      <c r="H34" s="7"/>
      <c r="I34" s="8"/>
      <c r="J34" s="20" t="s">
        <v>10</v>
      </c>
      <c r="K34" s="153"/>
      <c r="L34" s="153">
        <f>965+507</f>
        <v>1472</v>
      </c>
      <c r="M34" s="131"/>
      <c r="N34" s="131"/>
      <c r="O34" s="131"/>
      <c r="P34" s="131">
        <f>269</f>
        <v>269</v>
      </c>
      <c r="Q34" s="149">
        <f>AVERAGE(K34:P34)*3</f>
        <v>2611.5</v>
      </c>
      <c r="R34" s="154">
        <f>2448+807+3658+299+3600+2001</f>
        <v>12813</v>
      </c>
      <c r="S34" s="150">
        <v>15000</v>
      </c>
      <c r="T34" s="154"/>
      <c r="U34" s="149">
        <v>15000</v>
      </c>
      <c r="V34" s="154"/>
    </row>
    <row r="35" spans="7:22" x14ac:dyDescent="0.25">
      <c r="G35" s="27"/>
      <c r="H35" s="7"/>
      <c r="I35" s="14" t="s">
        <v>21</v>
      </c>
      <c r="J35" s="15"/>
      <c r="K35" s="102">
        <f t="shared" ref="K35:R35" si="25">SUM(K36:K38)</f>
        <v>99</v>
      </c>
      <c r="L35" s="102">
        <f t="shared" si="25"/>
        <v>6310</v>
      </c>
      <c r="M35" s="102">
        <f t="shared" si="25"/>
        <v>1409</v>
      </c>
      <c r="N35" s="102">
        <f t="shared" si="25"/>
        <v>0</v>
      </c>
      <c r="O35" s="102">
        <f t="shared" si="25"/>
        <v>200</v>
      </c>
      <c r="P35" s="102">
        <f t="shared" si="25"/>
        <v>812</v>
      </c>
      <c r="Q35" s="103">
        <f t="shared" si="25"/>
        <v>1227</v>
      </c>
      <c r="R35" s="130">
        <f t="shared" si="25"/>
        <v>0</v>
      </c>
      <c r="S35" s="90">
        <f t="shared" ref="S35:T35" si="26">SUM(S36:S38)</f>
        <v>500</v>
      </c>
      <c r="T35" s="130">
        <f t="shared" si="26"/>
        <v>0</v>
      </c>
      <c r="U35" s="103">
        <f t="shared" ref="U35:V35" si="27">SUM(U36:U38)</f>
        <v>7100</v>
      </c>
      <c r="V35" s="130">
        <f t="shared" si="27"/>
        <v>0</v>
      </c>
    </row>
    <row r="36" spans="7:22" x14ac:dyDescent="0.25">
      <c r="G36" s="27"/>
      <c r="H36" s="7"/>
      <c r="I36" s="7"/>
      <c r="J36" s="9" t="s">
        <v>14</v>
      </c>
      <c r="K36" s="148">
        <f>99</f>
        <v>99</v>
      </c>
      <c r="L36" s="148">
        <f>349+102+259</f>
        <v>710</v>
      </c>
      <c r="M36" s="148">
        <f>627</f>
        <v>627</v>
      </c>
      <c r="N36" s="148"/>
      <c r="O36" s="148">
        <f>200</f>
        <v>200</v>
      </c>
      <c r="P36" s="148"/>
      <c r="Q36" s="149">
        <f>AVERAGE(K36:P36)*3</f>
        <v>1227</v>
      </c>
      <c r="R36" s="133"/>
      <c r="S36" s="150">
        <v>500</v>
      </c>
      <c r="T36" s="133"/>
      <c r="U36" s="149">
        <v>1500</v>
      </c>
      <c r="V36" s="133"/>
    </row>
    <row r="37" spans="7:22" x14ac:dyDescent="0.25">
      <c r="G37" s="27"/>
      <c r="H37" s="7"/>
      <c r="I37" s="7"/>
      <c r="J37" s="9" t="s">
        <v>22</v>
      </c>
      <c r="K37" s="148"/>
      <c r="L37" s="148">
        <f>5600</f>
        <v>5600</v>
      </c>
      <c r="M37" s="148"/>
      <c r="N37" s="148"/>
      <c r="O37" s="148"/>
      <c r="P37" s="148"/>
      <c r="Q37" s="149"/>
      <c r="R37" s="133"/>
      <c r="S37" s="150"/>
      <c r="T37" s="133"/>
      <c r="U37" s="149">
        <v>5600</v>
      </c>
      <c r="V37" s="133"/>
    </row>
    <row r="38" spans="7:22" x14ac:dyDescent="0.25">
      <c r="G38" s="27"/>
      <c r="H38" s="7"/>
      <c r="I38" s="8"/>
      <c r="J38" s="20" t="s">
        <v>40</v>
      </c>
      <c r="K38" s="131"/>
      <c r="L38" s="131"/>
      <c r="M38" s="131">
        <f>782</f>
        <v>782</v>
      </c>
      <c r="N38" s="131"/>
      <c r="O38" s="131"/>
      <c r="P38" s="131">
        <f>391+421</f>
        <v>812</v>
      </c>
      <c r="Q38" s="149"/>
      <c r="R38" s="154"/>
      <c r="S38" s="150"/>
      <c r="T38" s="154"/>
      <c r="U38" s="149"/>
      <c r="V38" s="154"/>
    </row>
    <row r="39" spans="7:22" x14ac:dyDescent="0.25">
      <c r="G39" s="27"/>
      <c r="H39" s="7"/>
      <c r="I39" s="21" t="s">
        <v>24</v>
      </c>
      <c r="J39" s="11"/>
      <c r="K39" s="102">
        <f t="shared" ref="K39:R39" si="28">SUM(K40:K41)</f>
        <v>0</v>
      </c>
      <c r="L39" s="102">
        <f t="shared" si="28"/>
        <v>1467</v>
      </c>
      <c r="M39" s="102">
        <f t="shared" si="28"/>
        <v>25567</v>
      </c>
      <c r="N39" s="102">
        <f t="shared" si="28"/>
        <v>0</v>
      </c>
      <c r="O39" s="102">
        <f t="shared" si="28"/>
        <v>0</v>
      </c>
      <c r="P39" s="102">
        <f t="shared" si="28"/>
        <v>2113</v>
      </c>
      <c r="Q39" s="103">
        <f t="shared" si="28"/>
        <v>26215.666666666668</v>
      </c>
      <c r="R39" s="130">
        <f t="shared" si="28"/>
        <v>27354</v>
      </c>
      <c r="S39" s="90">
        <f t="shared" ref="S39:T39" si="29">SUM(S40:S41)</f>
        <v>1500</v>
      </c>
      <c r="T39" s="130">
        <f t="shared" si="29"/>
        <v>0</v>
      </c>
      <c r="U39" s="103">
        <f t="shared" ref="U39:V39" si="30">SUM(U40:U41)</f>
        <v>1500</v>
      </c>
      <c r="V39" s="130">
        <f t="shared" si="30"/>
        <v>0</v>
      </c>
    </row>
    <row r="40" spans="7:22" x14ac:dyDescent="0.25">
      <c r="G40" s="27"/>
      <c r="H40" s="7"/>
      <c r="I40" s="7"/>
      <c r="J40" s="9" t="s">
        <v>25</v>
      </c>
      <c r="K40" s="148"/>
      <c r="L40" s="148">
        <f>400+499+568</f>
        <v>1467</v>
      </c>
      <c r="M40" s="148">
        <f>817</f>
        <v>817</v>
      </c>
      <c r="N40" s="148"/>
      <c r="O40" s="148"/>
      <c r="P40" s="148">
        <f>92+733+327+961</f>
        <v>2113</v>
      </c>
      <c r="Q40" s="149">
        <f>AVERAGE(K40:P40)*1</f>
        <v>1465.6666666666667</v>
      </c>
      <c r="R40" s="133">
        <f>1404</f>
        <v>1404</v>
      </c>
      <c r="S40" s="150">
        <v>1500</v>
      </c>
      <c r="T40" s="133"/>
      <c r="U40" s="149">
        <v>1500</v>
      </c>
      <c r="V40" s="133"/>
    </row>
    <row r="41" spans="7:22" x14ac:dyDescent="0.25">
      <c r="G41" s="27"/>
      <c r="H41" s="7"/>
      <c r="I41" s="8"/>
      <c r="J41" s="10" t="s">
        <v>31</v>
      </c>
      <c r="K41" s="131"/>
      <c r="L41" s="131"/>
      <c r="M41" s="131">
        <v>24750</v>
      </c>
      <c r="N41" s="131"/>
      <c r="O41" s="131"/>
      <c r="P41" s="131"/>
      <c r="Q41" s="132">
        <v>24750</v>
      </c>
      <c r="R41" s="154">
        <f>25950</f>
        <v>25950</v>
      </c>
      <c r="S41" s="47"/>
      <c r="T41" s="154"/>
      <c r="U41" s="132"/>
      <c r="V41" s="154"/>
    </row>
    <row r="42" spans="7:22" x14ac:dyDescent="0.25">
      <c r="G42" s="27"/>
      <c r="H42" s="7"/>
      <c r="I42" s="52" t="s">
        <v>41</v>
      </c>
      <c r="J42" s="18"/>
      <c r="K42" s="155">
        <f>3661+7378+5884+1400</f>
        <v>18323</v>
      </c>
      <c r="L42" s="155">
        <f>24000</f>
        <v>24000</v>
      </c>
      <c r="M42" s="155"/>
      <c r="N42" s="155"/>
      <c r="O42" s="155"/>
      <c r="P42" s="155"/>
      <c r="Q42" s="105"/>
      <c r="R42" s="156"/>
      <c r="S42" s="107"/>
      <c r="T42" s="156"/>
      <c r="U42" s="105"/>
      <c r="V42" s="156"/>
    </row>
    <row r="43" spans="7:22" x14ac:dyDescent="0.25">
      <c r="G43" s="27"/>
      <c r="H43" s="7"/>
      <c r="I43" s="51" t="s">
        <v>66</v>
      </c>
      <c r="J43" s="11"/>
      <c r="K43" s="151"/>
      <c r="L43" s="151"/>
      <c r="M43" s="151"/>
      <c r="N43" s="151"/>
      <c r="O43" s="151"/>
      <c r="P43" s="151"/>
      <c r="Q43" s="108"/>
      <c r="R43" s="157">
        <f>5500+700</f>
        <v>6200</v>
      </c>
      <c r="S43" s="110"/>
      <c r="T43" s="157"/>
      <c r="U43" s="108"/>
      <c r="V43" s="157"/>
    </row>
    <row r="44" spans="7:22" x14ac:dyDescent="0.25">
      <c r="G44" s="27"/>
      <c r="H44" s="8"/>
      <c r="I44" s="32" t="s">
        <v>54</v>
      </c>
      <c r="J44" s="18"/>
      <c r="K44" s="155">
        <f>40+1500+200+224+350+175+1780+150</f>
        <v>4419</v>
      </c>
      <c r="L44" s="155">
        <f>1+1105+199+819</f>
        <v>2124</v>
      </c>
      <c r="M44" s="155">
        <f>200</f>
        <v>200</v>
      </c>
      <c r="N44" s="155">
        <f>122+218+224</f>
        <v>564</v>
      </c>
      <c r="O44" s="155">
        <f>290+250+199+460</f>
        <v>1199</v>
      </c>
      <c r="P44" s="155">
        <f>450+302</f>
        <v>752</v>
      </c>
      <c r="Q44" s="105">
        <f>AVERAGE(K40:P40)*3</f>
        <v>4397</v>
      </c>
      <c r="R44" s="130">
        <f>258+258+690+258+1750+199+150+52+288+440+950+150+84+2100</f>
        <v>7627</v>
      </c>
      <c r="S44" s="107">
        <v>5000</v>
      </c>
      <c r="T44" s="130"/>
      <c r="U44" s="105">
        <v>5000</v>
      </c>
      <c r="V44" s="130"/>
    </row>
    <row r="45" spans="7:22" x14ac:dyDescent="0.25">
      <c r="G45" s="28"/>
      <c r="H45" s="22" t="s">
        <v>44</v>
      </c>
      <c r="I45" s="23"/>
      <c r="J45" s="23"/>
      <c r="K45" s="111">
        <f t="shared" ref="K45:V45" si="31">K4-K10</f>
        <v>243174</v>
      </c>
      <c r="L45" s="111">
        <f t="shared" si="31"/>
        <v>107194</v>
      </c>
      <c r="M45" s="111">
        <f t="shared" si="31"/>
        <v>-8904</v>
      </c>
      <c r="N45" s="111">
        <f t="shared" si="31"/>
        <v>74219</v>
      </c>
      <c r="O45" s="111">
        <f t="shared" si="31"/>
        <v>117180</v>
      </c>
      <c r="P45" s="111">
        <f t="shared" si="31"/>
        <v>81302</v>
      </c>
      <c r="Q45" s="112">
        <f t="shared" si="31"/>
        <v>331056.33333333337</v>
      </c>
      <c r="R45" s="134">
        <f t="shared" si="31"/>
        <v>400103</v>
      </c>
      <c r="S45" s="114">
        <f t="shared" si="31"/>
        <v>443690</v>
      </c>
      <c r="T45" s="134">
        <f t="shared" si="31"/>
        <v>0</v>
      </c>
      <c r="U45" s="112">
        <f t="shared" si="31"/>
        <v>356090</v>
      </c>
      <c r="V45" s="134">
        <f t="shared" si="31"/>
        <v>0</v>
      </c>
    </row>
    <row r="46" spans="7:22" x14ac:dyDescent="0.25">
      <c r="G46" s="25" t="s">
        <v>47</v>
      </c>
      <c r="H46" s="26"/>
      <c r="I46" s="26"/>
      <c r="J46" s="26"/>
      <c r="K46" s="26"/>
      <c r="L46" s="26"/>
      <c r="M46" s="26"/>
      <c r="N46" s="26"/>
      <c r="O46" s="26"/>
      <c r="P46" s="26"/>
      <c r="Q46" s="60" t="s">
        <v>72</v>
      </c>
      <c r="R46" s="61" t="s">
        <v>73</v>
      </c>
      <c r="S46" s="72" t="s">
        <v>72</v>
      </c>
      <c r="T46" s="61" t="s">
        <v>73</v>
      </c>
      <c r="U46" s="60" t="s">
        <v>72</v>
      </c>
      <c r="V46" s="61" t="s">
        <v>73</v>
      </c>
    </row>
    <row r="47" spans="7:22" x14ac:dyDescent="0.25">
      <c r="G47" s="27"/>
      <c r="H47" s="1" t="s">
        <v>42</v>
      </c>
      <c r="I47" s="2"/>
      <c r="J47" s="2"/>
      <c r="K47" s="2"/>
      <c r="L47" s="2"/>
      <c r="M47" s="2"/>
      <c r="N47" s="2"/>
      <c r="O47" s="2"/>
      <c r="P47" s="2"/>
      <c r="Q47" s="62"/>
      <c r="R47" s="63"/>
      <c r="S47" s="43"/>
      <c r="T47" s="63"/>
      <c r="U47" s="62"/>
      <c r="V47" s="63"/>
    </row>
    <row r="48" spans="7:22" x14ac:dyDescent="0.25">
      <c r="G48" s="27"/>
      <c r="H48" s="5" t="s">
        <v>43</v>
      </c>
      <c r="I48" s="6"/>
      <c r="J48" s="6"/>
      <c r="K48" s="98">
        <f>SUM(K49)</f>
        <v>45100</v>
      </c>
      <c r="L48" s="98">
        <f t="shared" ref="L48:V48" si="32">SUM(L49)</f>
        <v>45100</v>
      </c>
      <c r="M48" s="98">
        <f t="shared" si="32"/>
        <v>45100</v>
      </c>
      <c r="N48" s="98">
        <f t="shared" si="32"/>
        <v>45100</v>
      </c>
      <c r="O48" s="98">
        <f t="shared" si="32"/>
        <v>45100</v>
      </c>
      <c r="P48" s="98">
        <f t="shared" si="32"/>
        <v>45100</v>
      </c>
      <c r="Q48" s="127">
        <f t="shared" si="32"/>
        <v>135300</v>
      </c>
      <c r="R48" s="128">
        <f t="shared" si="32"/>
        <v>135300</v>
      </c>
      <c r="S48" s="129">
        <f t="shared" si="32"/>
        <v>135300</v>
      </c>
      <c r="T48" s="128">
        <f t="shared" si="32"/>
        <v>0</v>
      </c>
      <c r="U48" s="127">
        <f t="shared" si="32"/>
        <v>135300</v>
      </c>
      <c r="V48" s="128">
        <f t="shared" si="32"/>
        <v>0</v>
      </c>
    </row>
    <row r="49" spans="7:22" x14ac:dyDescent="0.25">
      <c r="G49" s="27"/>
      <c r="H49" s="7"/>
      <c r="I49" s="14" t="s">
        <v>27</v>
      </c>
      <c r="J49" s="15"/>
      <c r="K49" s="102">
        <f>SUM(K50)</f>
        <v>45100</v>
      </c>
      <c r="L49" s="102">
        <f t="shared" ref="L49:V49" si="33">SUM(L50)</f>
        <v>45100</v>
      </c>
      <c r="M49" s="102">
        <f t="shared" si="33"/>
        <v>45100</v>
      </c>
      <c r="N49" s="102">
        <f t="shared" si="33"/>
        <v>45100</v>
      </c>
      <c r="O49" s="102">
        <f t="shared" si="33"/>
        <v>45100</v>
      </c>
      <c r="P49" s="102">
        <f t="shared" si="33"/>
        <v>45100</v>
      </c>
      <c r="Q49" s="103">
        <f t="shared" si="33"/>
        <v>135300</v>
      </c>
      <c r="R49" s="130">
        <f t="shared" si="33"/>
        <v>135300</v>
      </c>
      <c r="S49" s="90">
        <f t="shared" si="33"/>
        <v>135300</v>
      </c>
      <c r="T49" s="130">
        <f t="shared" si="33"/>
        <v>0</v>
      </c>
      <c r="U49" s="103">
        <f t="shared" si="33"/>
        <v>135300</v>
      </c>
      <c r="V49" s="130">
        <f t="shared" si="33"/>
        <v>0</v>
      </c>
    </row>
    <row r="50" spans="7:22" x14ac:dyDescent="0.25">
      <c r="G50" s="27"/>
      <c r="H50" s="7"/>
      <c r="I50" s="8"/>
      <c r="J50" s="41" t="s">
        <v>49</v>
      </c>
      <c r="K50" s="131">
        <v>45100</v>
      </c>
      <c r="L50" s="131">
        <v>45100</v>
      </c>
      <c r="M50" s="131">
        <v>45100</v>
      </c>
      <c r="N50" s="131">
        <v>45100</v>
      </c>
      <c r="O50" s="131">
        <v>45100</v>
      </c>
      <c r="P50" s="131">
        <v>45100</v>
      </c>
      <c r="Q50" s="132">
        <f>P50*3</f>
        <v>135300</v>
      </c>
      <c r="R50" s="133">
        <f>45100+45100+45100</f>
        <v>135300</v>
      </c>
      <c r="S50" s="47">
        <v>135300</v>
      </c>
      <c r="T50" s="133"/>
      <c r="U50" s="132">
        <v>135300</v>
      </c>
      <c r="V50" s="133"/>
    </row>
    <row r="51" spans="7:22" x14ac:dyDescent="0.25">
      <c r="G51" s="28"/>
      <c r="H51" s="22" t="s">
        <v>44</v>
      </c>
      <c r="I51" s="23"/>
      <c r="J51" s="23"/>
      <c r="K51" s="111">
        <f t="shared" ref="K51:R51" si="34">K47-K48</f>
        <v>-45100</v>
      </c>
      <c r="L51" s="111">
        <f t="shared" si="34"/>
        <v>-45100</v>
      </c>
      <c r="M51" s="111">
        <f t="shared" si="34"/>
        <v>-45100</v>
      </c>
      <c r="N51" s="111">
        <f t="shared" si="34"/>
        <v>-45100</v>
      </c>
      <c r="O51" s="111">
        <f t="shared" si="34"/>
        <v>-45100</v>
      </c>
      <c r="P51" s="111">
        <f t="shared" si="34"/>
        <v>-45100</v>
      </c>
      <c r="Q51" s="112">
        <f t="shared" si="34"/>
        <v>-135300</v>
      </c>
      <c r="R51" s="134">
        <f t="shared" si="34"/>
        <v>-135300</v>
      </c>
      <c r="S51" s="114">
        <f t="shared" ref="S51:T51" si="35">S47-S48</f>
        <v>-135300</v>
      </c>
      <c r="T51" s="134">
        <f t="shared" si="35"/>
        <v>0</v>
      </c>
      <c r="U51" s="112">
        <f t="shared" ref="U51:V51" si="36">U47-U48</f>
        <v>-135300</v>
      </c>
      <c r="V51" s="134">
        <f t="shared" si="36"/>
        <v>0</v>
      </c>
    </row>
    <row r="52" spans="7:22" x14ac:dyDescent="0.25">
      <c r="G52" s="29" t="s">
        <v>48</v>
      </c>
      <c r="H52" s="26"/>
      <c r="I52" s="26"/>
      <c r="J52" s="26"/>
      <c r="K52" s="26"/>
      <c r="L52" s="26"/>
      <c r="M52" s="26"/>
      <c r="N52" s="26"/>
      <c r="O52" s="26"/>
      <c r="P52" s="26"/>
      <c r="Q52" s="60" t="s">
        <v>72</v>
      </c>
      <c r="R52" s="61" t="s">
        <v>73</v>
      </c>
      <c r="S52" s="72" t="s">
        <v>72</v>
      </c>
      <c r="T52" s="61" t="s">
        <v>73</v>
      </c>
      <c r="U52" s="60" t="s">
        <v>72</v>
      </c>
      <c r="V52" s="61" t="s">
        <v>73</v>
      </c>
    </row>
    <row r="53" spans="7:22" x14ac:dyDescent="0.25">
      <c r="G53" s="27"/>
      <c r="H53" s="1" t="s">
        <v>42</v>
      </c>
      <c r="I53" s="2"/>
      <c r="J53" s="2"/>
      <c r="K53" s="2">
        <f t="shared" ref="K53:V53" si="37">SUM(K54)</f>
        <v>0</v>
      </c>
      <c r="L53" s="2">
        <f t="shared" si="37"/>
        <v>0</v>
      </c>
      <c r="M53" s="2">
        <f t="shared" si="37"/>
        <v>0</v>
      </c>
      <c r="N53" s="2">
        <f t="shared" si="37"/>
        <v>0</v>
      </c>
      <c r="O53" s="2">
        <f t="shared" si="37"/>
        <v>0</v>
      </c>
      <c r="P53" s="2">
        <f t="shared" si="37"/>
        <v>7000</v>
      </c>
      <c r="Q53" s="62">
        <f t="shared" si="37"/>
        <v>0</v>
      </c>
      <c r="R53" s="64">
        <f t="shared" si="37"/>
        <v>0</v>
      </c>
      <c r="S53" s="43">
        <f t="shared" si="37"/>
        <v>0</v>
      </c>
      <c r="T53" s="64">
        <f t="shared" si="37"/>
        <v>0</v>
      </c>
      <c r="U53" s="62">
        <f t="shared" si="37"/>
        <v>0</v>
      </c>
      <c r="V53" s="64">
        <f t="shared" si="37"/>
        <v>0</v>
      </c>
    </row>
    <row r="54" spans="7:22" x14ac:dyDescent="0.25">
      <c r="G54" s="27"/>
      <c r="H54" s="3"/>
      <c r="I54" s="31" t="s">
        <v>51</v>
      </c>
      <c r="J54" s="17"/>
      <c r="K54" s="91"/>
      <c r="L54" s="91"/>
      <c r="M54" s="91"/>
      <c r="N54" s="91"/>
      <c r="O54" s="91"/>
      <c r="P54" s="91">
        <v>7000</v>
      </c>
      <c r="Q54" s="92"/>
      <c r="R54" s="93"/>
      <c r="S54" s="94"/>
      <c r="T54" s="93"/>
      <c r="U54" s="92"/>
      <c r="V54" s="93"/>
    </row>
    <row r="55" spans="7:22" x14ac:dyDescent="0.25">
      <c r="G55" s="27"/>
      <c r="H55" s="3"/>
      <c r="I55" s="16" t="s">
        <v>52</v>
      </c>
      <c r="J55" s="17"/>
      <c r="K55" s="95"/>
      <c r="L55" s="95"/>
      <c r="M55" s="95"/>
      <c r="N55" s="95"/>
      <c r="O55" s="95"/>
      <c r="P55" s="95"/>
      <c r="Q55" s="96"/>
      <c r="R55" s="97"/>
      <c r="S55" s="55"/>
      <c r="T55" s="97"/>
      <c r="U55" s="96"/>
      <c r="V55" s="97"/>
    </row>
    <row r="56" spans="7:22" x14ac:dyDescent="0.25">
      <c r="G56" s="27"/>
      <c r="H56" s="5" t="s">
        <v>43</v>
      </c>
      <c r="I56" s="6"/>
      <c r="J56" s="6"/>
      <c r="K56" s="98">
        <f t="shared" ref="K56:P56" si="38">SUM(K57,K58)</f>
        <v>0</v>
      </c>
      <c r="L56" s="98">
        <f t="shared" si="38"/>
        <v>0</v>
      </c>
      <c r="M56" s="98">
        <f t="shared" si="38"/>
        <v>200000</v>
      </c>
      <c r="N56" s="98">
        <f t="shared" si="38"/>
        <v>4000</v>
      </c>
      <c r="O56" s="98">
        <f t="shared" si="38"/>
        <v>8000</v>
      </c>
      <c r="P56" s="98">
        <f t="shared" si="38"/>
        <v>200000</v>
      </c>
      <c r="Q56" s="99">
        <f>SUM(Q57,Q58,Q59)</f>
        <v>0</v>
      </c>
      <c r="R56" s="100">
        <f>SUM(R57,R58,R59)</f>
        <v>210100</v>
      </c>
      <c r="S56" s="98">
        <f t="shared" ref="S56:V56" si="39">SUM(S57,S58,S59)</f>
        <v>200000</v>
      </c>
      <c r="T56" s="101">
        <f t="shared" si="39"/>
        <v>0</v>
      </c>
      <c r="U56" s="101">
        <f t="shared" si="39"/>
        <v>0</v>
      </c>
      <c r="V56" s="101">
        <f t="shared" si="39"/>
        <v>0</v>
      </c>
    </row>
    <row r="57" spans="7:22" x14ac:dyDescent="0.25">
      <c r="G57" s="27"/>
      <c r="H57" s="7"/>
      <c r="I57" s="30" t="s">
        <v>50</v>
      </c>
      <c r="J57" s="15"/>
      <c r="K57" s="102"/>
      <c r="L57" s="102"/>
      <c r="M57" s="102"/>
      <c r="N57" s="102">
        <v>4000</v>
      </c>
      <c r="O57" s="102">
        <v>8000</v>
      </c>
      <c r="P57" s="102"/>
      <c r="Q57" s="103"/>
      <c r="R57" s="104">
        <v>10000</v>
      </c>
      <c r="S57" s="90"/>
      <c r="T57" s="104"/>
      <c r="U57" s="103"/>
      <c r="V57" s="104"/>
    </row>
    <row r="58" spans="7:22" x14ac:dyDescent="0.25">
      <c r="G58" s="27"/>
      <c r="H58" s="7"/>
      <c r="I58" s="30" t="s">
        <v>53</v>
      </c>
      <c r="J58" s="15"/>
      <c r="K58" s="102"/>
      <c r="L58" s="102"/>
      <c r="M58" s="102">
        <v>200000</v>
      </c>
      <c r="N58" s="102"/>
      <c r="O58" s="102"/>
      <c r="P58" s="102">
        <v>200000</v>
      </c>
      <c r="Q58" s="105"/>
      <c r="R58" s="106">
        <v>200000</v>
      </c>
      <c r="S58" s="107">
        <v>200000</v>
      </c>
      <c r="T58" s="106"/>
      <c r="U58" s="105"/>
      <c r="V58" s="106"/>
    </row>
    <row r="59" spans="7:22" x14ac:dyDescent="0.25">
      <c r="G59" s="27"/>
      <c r="H59" s="7"/>
      <c r="I59" s="14" t="s">
        <v>70</v>
      </c>
      <c r="J59" s="15"/>
      <c r="K59" s="102"/>
      <c r="L59" s="102"/>
      <c r="M59" s="102"/>
      <c r="N59" s="102"/>
      <c r="O59" s="102"/>
      <c r="P59" s="102"/>
      <c r="Q59" s="108"/>
      <c r="R59" s="109">
        <v>100</v>
      </c>
      <c r="S59" s="110"/>
      <c r="T59" s="109"/>
      <c r="U59" s="108"/>
      <c r="V59" s="109"/>
    </row>
    <row r="60" spans="7:22" x14ac:dyDescent="0.25">
      <c r="G60" s="28"/>
      <c r="H60" s="22" t="s">
        <v>44</v>
      </c>
      <c r="I60" s="23"/>
      <c r="J60" s="23"/>
      <c r="K60" s="111">
        <f t="shared" ref="K60:V60" si="40">K53-K56</f>
        <v>0</v>
      </c>
      <c r="L60" s="111">
        <f t="shared" si="40"/>
        <v>0</v>
      </c>
      <c r="M60" s="111">
        <f t="shared" si="40"/>
        <v>-200000</v>
      </c>
      <c r="N60" s="111">
        <f t="shared" si="40"/>
        <v>-4000</v>
      </c>
      <c r="O60" s="111">
        <f t="shared" si="40"/>
        <v>-8000</v>
      </c>
      <c r="P60" s="111">
        <f t="shared" si="40"/>
        <v>-193000</v>
      </c>
      <c r="Q60" s="112">
        <f t="shared" si="40"/>
        <v>0</v>
      </c>
      <c r="R60" s="113">
        <f t="shared" si="40"/>
        <v>-210100</v>
      </c>
      <c r="S60" s="114">
        <f t="shared" si="40"/>
        <v>-200000</v>
      </c>
      <c r="T60" s="113">
        <f t="shared" si="40"/>
        <v>0</v>
      </c>
      <c r="U60" s="112">
        <f t="shared" si="40"/>
        <v>0</v>
      </c>
      <c r="V60" s="113">
        <f t="shared" si="40"/>
        <v>0</v>
      </c>
    </row>
    <row r="61" spans="7:22" x14ac:dyDescent="0.25">
      <c r="G61" s="36" t="s">
        <v>57</v>
      </c>
      <c r="H61" s="37"/>
      <c r="I61" s="37"/>
      <c r="J61" s="37"/>
      <c r="K61" s="115">
        <v>66000</v>
      </c>
      <c r="L61" s="115"/>
      <c r="M61" s="115"/>
      <c r="N61" s="115"/>
      <c r="O61" s="115"/>
      <c r="P61" s="115"/>
      <c r="Q61" s="116">
        <v>36</v>
      </c>
      <c r="R61" s="117">
        <v>30297</v>
      </c>
      <c r="S61" s="118">
        <v>85000</v>
      </c>
      <c r="T61" s="117">
        <v>0</v>
      </c>
      <c r="U61" s="116">
        <v>190000</v>
      </c>
      <c r="V61" s="117">
        <v>0</v>
      </c>
    </row>
    <row r="62" spans="7:22" x14ac:dyDescent="0.25">
      <c r="G62" s="38" t="s">
        <v>58</v>
      </c>
      <c r="H62" s="24"/>
      <c r="I62" s="24"/>
      <c r="J62" s="24"/>
      <c r="K62" s="119">
        <f>SUM(K45:P45)+SUM(K51:P51)+SUM(K60:P60)</f>
        <v>-61435</v>
      </c>
      <c r="L62" s="119"/>
      <c r="M62" s="119"/>
      <c r="N62" s="119"/>
      <c r="O62" s="119"/>
      <c r="P62" s="119"/>
      <c r="Q62" s="120">
        <f t="shared" ref="Q62:V62" si="41">SUM(Q45,Q51,Q60)</f>
        <v>195756.33333333337</v>
      </c>
      <c r="R62" s="121">
        <f t="shared" si="41"/>
        <v>54703</v>
      </c>
      <c r="S62" s="122">
        <f t="shared" si="41"/>
        <v>108390</v>
      </c>
      <c r="T62" s="121">
        <f t="shared" si="41"/>
        <v>0</v>
      </c>
      <c r="U62" s="120">
        <f t="shared" si="41"/>
        <v>220790</v>
      </c>
      <c r="V62" s="121">
        <f t="shared" si="41"/>
        <v>0</v>
      </c>
    </row>
    <row r="63" spans="7:22" ht="15" thickBot="1" x14ac:dyDescent="0.3">
      <c r="G63" s="39" t="s">
        <v>59</v>
      </c>
      <c r="H63" s="40"/>
      <c r="I63" s="40"/>
      <c r="J63" s="40"/>
      <c r="K63" s="123">
        <f>SUM(K61,K62)</f>
        <v>4565</v>
      </c>
      <c r="L63" s="123"/>
      <c r="M63" s="123"/>
      <c r="N63" s="123"/>
      <c r="O63" s="123"/>
      <c r="P63" s="123"/>
      <c r="Q63" s="124">
        <f t="shared" ref="Q63:V63" si="42">SUM(Q61,Q62)</f>
        <v>195792.33333333337</v>
      </c>
      <c r="R63" s="125">
        <f t="shared" si="42"/>
        <v>85000</v>
      </c>
      <c r="S63" s="126">
        <f t="shared" si="42"/>
        <v>193390</v>
      </c>
      <c r="T63" s="125">
        <f t="shared" si="42"/>
        <v>0</v>
      </c>
      <c r="U63" s="124">
        <f t="shared" si="42"/>
        <v>410790</v>
      </c>
      <c r="V63" s="125">
        <f t="shared" si="42"/>
        <v>0</v>
      </c>
    </row>
  </sheetData>
  <mergeCells count="8">
    <mergeCell ref="U2:V2"/>
    <mergeCell ref="L1:U1"/>
    <mergeCell ref="S2:T2"/>
    <mergeCell ref="G1:G2"/>
    <mergeCell ref="H1:H2"/>
    <mergeCell ref="I1:I2"/>
    <mergeCell ref="J1:J2"/>
    <mergeCell ref="Q2:R2"/>
  </mergeCells>
  <pageMargins left="0.7" right="0.7" top="0.75" bottom="0.75" header="0.3" footer="0.3"/>
  <ignoredErrors>
    <ignoredError sqref="Q15 Q35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ACA63-EF1D-49ED-BEE4-4702B85AA33B}">
  <sheetPr codeName="Лист2"/>
  <dimension ref="J1:O24"/>
  <sheetViews>
    <sheetView zoomScale="130" zoomScaleNormal="130" workbookViewId="0">
      <selection activeCell="J25" sqref="J25"/>
    </sheetView>
  </sheetViews>
  <sheetFormatPr defaultRowHeight="14.3" x14ac:dyDescent="0.25"/>
  <cols>
    <col min="12" max="13" width="6.42578125" customWidth="1"/>
    <col min="14" max="14" width="17.140625" customWidth="1"/>
    <col min="15" max="15" width="12.85546875" customWidth="1"/>
  </cols>
  <sheetData>
    <row r="1" spans="12:15" x14ac:dyDescent="0.25">
      <c r="L1" s="83" t="s">
        <v>0</v>
      </c>
      <c r="M1" s="85" t="s">
        <v>1</v>
      </c>
      <c r="N1" s="76" t="s">
        <v>2</v>
      </c>
      <c r="O1" s="42">
        <v>2025</v>
      </c>
    </row>
    <row r="2" spans="12:15" x14ac:dyDescent="0.25">
      <c r="L2" s="84"/>
      <c r="M2" s="86"/>
      <c r="N2" s="87"/>
      <c r="O2" s="56" t="s">
        <v>75</v>
      </c>
    </row>
    <row r="3" spans="12:15" x14ac:dyDescent="0.25">
      <c r="L3" s="1" t="s">
        <v>61</v>
      </c>
      <c r="M3" s="2"/>
      <c r="N3" s="2"/>
      <c r="O3" s="43"/>
    </row>
    <row r="4" spans="12:15" x14ac:dyDescent="0.25">
      <c r="L4" s="3"/>
      <c r="M4" s="16" t="s">
        <v>16</v>
      </c>
      <c r="N4" s="17"/>
      <c r="O4" s="44"/>
    </row>
    <row r="5" spans="12:15" x14ac:dyDescent="0.25">
      <c r="L5" s="3"/>
      <c r="M5" s="4"/>
      <c r="N5" s="12" t="s">
        <v>49</v>
      </c>
      <c r="O5" s="45">
        <v>11110000</v>
      </c>
    </row>
    <row r="6" spans="12:15" x14ac:dyDescent="0.25">
      <c r="L6" s="3"/>
      <c r="M6" s="48" t="s">
        <v>64</v>
      </c>
      <c r="N6" s="17"/>
      <c r="O6" s="55"/>
    </row>
    <row r="7" spans="12:15" x14ac:dyDescent="0.25">
      <c r="L7" s="3"/>
      <c r="M7" s="3"/>
      <c r="N7" s="49" t="s">
        <v>67</v>
      </c>
      <c r="O7" s="46">
        <v>200000</v>
      </c>
    </row>
    <row r="8" spans="12:15" x14ac:dyDescent="0.25">
      <c r="L8" s="3"/>
      <c r="M8" s="3"/>
      <c r="N8" s="49" t="s">
        <v>68</v>
      </c>
      <c r="O8" s="46">
        <v>200000</v>
      </c>
    </row>
    <row r="9" spans="12:15" x14ac:dyDescent="0.25">
      <c r="L9" s="3"/>
      <c r="M9" s="3"/>
      <c r="N9" s="49" t="s">
        <v>69</v>
      </c>
      <c r="O9" s="46">
        <v>200000</v>
      </c>
    </row>
    <row r="10" spans="12:15" x14ac:dyDescent="0.25">
      <c r="L10" s="3"/>
      <c r="M10" s="16" t="s">
        <v>74</v>
      </c>
      <c r="N10" s="17"/>
      <c r="O10" s="55"/>
    </row>
    <row r="11" spans="12:15" x14ac:dyDescent="0.25">
      <c r="L11" s="53"/>
      <c r="M11" s="57"/>
      <c r="N11" s="54" t="s">
        <v>71</v>
      </c>
      <c r="O11" s="45">
        <v>100</v>
      </c>
    </row>
    <row r="12" spans="12:15" x14ac:dyDescent="0.25">
      <c r="L12" s="53"/>
      <c r="M12" s="58" t="s">
        <v>76</v>
      </c>
      <c r="N12" s="17"/>
      <c r="O12" s="55"/>
    </row>
    <row r="13" spans="12:15" x14ac:dyDescent="0.25">
      <c r="L13" s="59"/>
      <c r="M13" s="57"/>
      <c r="N13" s="54" t="s">
        <v>77</v>
      </c>
      <c r="O13" s="45">
        <v>85000</v>
      </c>
    </row>
    <row r="14" spans="12:15" x14ac:dyDescent="0.25">
      <c r="L14" s="7" t="s">
        <v>62</v>
      </c>
      <c r="M14" s="50"/>
      <c r="N14" s="50"/>
      <c r="O14" s="89"/>
    </row>
    <row r="15" spans="12:15" x14ac:dyDescent="0.25">
      <c r="L15" s="7"/>
      <c r="M15" s="14" t="s">
        <v>27</v>
      </c>
      <c r="N15" s="15"/>
      <c r="O15" s="90"/>
    </row>
    <row r="16" spans="12:15" x14ac:dyDescent="0.25">
      <c r="L16" s="8"/>
      <c r="M16" s="8"/>
      <c r="N16" s="10" t="s">
        <v>49</v>
      </c>
      <c r="O16" s="47">
        <v>9133293</v>
      </c>
    </row>
    <row r="18" spans="10:11" x14ac:dyDescent="0.25">
      <c r="K18" t="s">
        <v>80</v>
      </c>
    </row>
    <row r="19" spans="10:11" x14ac:dyDescent="0.25">
      <c r="J19" t="s">
        <v>82</v>
      </c>
    </row>
    <row r="20" spans="10:11" x14ac:dyDescent="0.25">
      <c r="J20" t="s">
        <v>81</v>
      </c>
    </row>
    <row r="21" spans="10:11" x14ac:dyDescent="0.25">
      <c r="J21" t="s">
        <v>84</v>
      </c>
    </row>
    <row r="22" spans="10:11" x14ac:dyDescent="0.25">
      <c r="J22" t="s">
        <v>83</v>
      </c>
    </row>
    <row r="23" spans="10:11" x14ac:dyDescent="0.25">
      <c r="J23" t="s">
        <v>85</v>
      </c>
    </row>
    <row r="24" spans="10:11" x14ac:dyDescent="0.25">
      <c r="J24" t="s">
        <v>86</v>
      </c>
    </row>
  </sheetData>
  <mergeCells count="3">
    <mergeCell ref="L1:L2"/>
    <mergeCell ref="M1:M2"/>
    <mergeCell ref="N1:N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Движение денежных средств</vt:lpstr>
      <vt:lpstr>Баланс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2015-06-05T18:17:20Z</dcterms:created>
  <dcterms:modified xsi:type="dcterms:W3CDTF">2025-08-28T17:04:25Z</dcterms:modified>
</cp:coreProperties>
</file>